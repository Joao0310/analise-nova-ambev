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poz\Desktop\"/>
    </mc:Choice>
  </mc:AlternateContent>
  <xr:revisionPtr revIDLastSave="0" documentId="8_{20E38FE1-132E-4E71-A18D-3D1ED47A4BD6}" xr6:coauthVersionLast="47" xr6:coauthVersionMax="47" xr10:uidLastSave="{00000000-0000-0000-0000-000000000000}"/>
  <bookViews>
    <workbookView xWindow="-108" yWindow="-108" windowWidth="23256" windowHeight="12456" xr2:uid="{C112F17C-18B0-4321-894B-143191E3216E}"/>
  </bookViews>
  <sheets>
    <sheet name="Fevereiro Nova Demanda Resolv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" i="1" l="1"/>
  <c r="AU5" i="1"/>
  <c r="AU6" i="1"/>
  <c r="AU7" i="1"/>
  <c r="AU8" i="1"/>
  <c r="AU9" i="1"/>
  <c r="AU12" i="1"/>
  <c r="AU13" i="1"/>
  <c r="AU14" i="1"/>
  <c r="AU15" i="1"/>
  <c r="AU16" i="1"/>
  <c r="AU17" i="1"/>
  <c r="AU20" i="1"/>
  <c r="AU21" i="1"/>
  <c r="AU22" i="1"/>
  <c r="AU23" i="1"/>
  <c r="AU24" i="1"/>
  <c r="AU25" i="1"/>
  <c r="AU28" i="1"/>
  <c r="AU29" i="1"/>
  <c r="AU30" i="1"/>
  <c r="AU31" i="1"/>
  <c r="AU32" i="1"/>
  <c r="AS41" i="1"/>
  <c r="M41" i="1"/>
  <c r="X41" i="1" s="1"/>
  <c r="H41" i="1"/>
  <c r="AS40" i="1"/>
  <c r="M40" i="1"/>
  <c r="X40" i="1" s="1"/>
  <c r="H40" i="1"/>
  <c r="AS39" i="1"/>
  <c r="M39" i="1"/>
  <c r="X39" i="1" s="1"/>
  <c r="H39" i="1"/>
  <c r="AR33" i="1"/>
  <c r="AQ33" i="1"/>
  <c r="AP33" i="1"/>
  <c r="AN33" i="1"/>
  <c r="AL33" i="1"/>
  <c r="AH33" i="1"/>
  <c r="AG33" i="1"/>
  <c r="AF33" i="1"/>
  <c r="AE33" i="1"/>
  <c r="AC33" i="1"/>
  <c r="AA33" i="1"/>
  <c r="W33" i="1"/>
  <c r="V33" i="1"/>
  <c r="U33" i="1"/>
  <c r="T33" i="1"/>
  <c r="R33" i="1"/>
  <c r="P33" i="1"/>
  <c r="L33" i="1"/>
  <c r="K33" i="1"/>
  <c r="M33" i="1" s="1"/>
  <c r="J33" i="1"/>
  <c r="AS33" i="1" s="1"/>
  <c r="I33" i="1"/>
  <c r="H33" i="1"/>
  <c r="G33" i="1"/>
  <c r="E33" i="1"/>
  <c r="C33" i="1"/>
  <c r="AS32" i="1"/>
  <c r="M32" i="1"/>
  <c r="N32" i="1" s="1"/>
  <c r="H32" i="1"/>
  <c r="AS31" i="1"/>
  <c r="M31" i="1"/>
  <c r="X31" i="1" s="1"/>
  <c r="H31" i="1"/>
  <c r="AS30" i="1"/>
  <c r="M30" i="1"/>
  <c r="X30" i="1" s="1"/>
  <c r="H30" i="1"/>
  <c r="AS29" i="1"/>
  <c r="M29" i="1"/>
  <c r="X29" i="1" s="1"/>
  <c r="H29" i="1"/>
  <c r="AS28" i="1"/>
  <c r="M28" i="1"/>
  <c r="X28" i="1" s="1"/>
  <c r="H28" i="1"/>
  <c r="AS25" i="1"/>
  <c r="AR25" i="1"/>
  <c r="AQ25" i="1"/>
  <c r="AP25" i="1"/>
  <c r="AN25" i="1"/>
  <c r="AL25" i="1"/>
  <c r="AH25" i="1"/>
  <c r="AG25" i="1"/>
  <c r="AF25" i="1"/>
  <c r="AE25" i="1"/>
  <c r="AC25" i="1"/>
  <c r="AA25" i="1"/>
  <c r="W25" i="1"/>
  <c r="V25" i="1"/>
  <c r="U25" i="1"/>
  <c r="T25" i="1"/>
  <c r="R25" i="1"/>
  <c r="P25" i="1"/>
  <c r="L25" i="1"/>
  <c r="M25" i="1" s="1"/>
  <c r="K25" i="1"/>
  <c r="J25" i="1"/>
  <c r="I25" i="1"/>
  <c r="G25" i="1"/>
  <c r="H25" i="1" s="1"/>
  <c r="E25" i="1"/>
  <c r="C25" i="1"/>
  <c r="AS24" i="1"/>
  <c r="M24" i="1"/>
  <c r="N24" i="1" s="1"/>
  <c r="H24" i="1"/>
  <c r="AS23" i="1"/>
  <c r="M23" i="1"/>
  <c r="X23" i="1" s="1"/>
  <c r="H23" i="1"/>
  <c r="AS22" i="1"/>
  <c r="M22" i="1"/>
  <c r="X22" i="1" s="1"/>
  <c r="H22" i="1"/>
  <c r="AS21" i="1"/>
  <c r="M21" i="1"/>
  <c r="X21" i="1" s="1"/>
  <c r="H21" i="1"/>
  <c r="AS20" i="1"/>
  <c r="M20" i="1"/>
  <c r="X20" i="1" s="1"/>
  <c r="H20" i="1"/>
  <c r="AS17" i="1"/>
  <c r="AR17" i="1"/>
  <c r="AQ17" i="1"/>
  <c r="AP17" i="1"/>
  <c r="AN17" i="1"/>
  <c r="AL17" i="1"/>
  <c r="AH17" i="1"/>
  <c r="AG17" i="1"/>
  <c r="AF17" i="1"/>
  <c r="AE17" i="1"/>
  <c r="AC17" i="1"/>
  <c r="AA17" i="1"/>
  <c r="W17" i="1"/>
  <c r="V17" i="1"/>
  <c r="U17" i="1"/>
  <c r="T17" i="1"/>
  <c r="R17" i="1"/>
  <c r="P17" i="1"/>
  <c r="L17" i="1"/>
  <c r="K17" i="1"/>
  <c r="J17" i="1"/>
  <c r="I17" i="1"/>
  <c r="G17" i="1"/>
  <c r="M17" i="1" s="1"/>
  <c r="E17" i="1"/>
  <c r="C17" i="1"/>
  <c r="AS16" i="1"/>
  <c r="M16" i="1"/>
  <c r="X16" i="1" s="1"/>
  <c r="H16" i="1"/>
  <c r="AS15" i="1"/>
  <c r="M15" i="1"/>
  <c r="X15" i="1" s="1"/>
  <c r="H15" i="1"/>
  <c r="AS14" i="1"/>
  <c r="M14" i="1"/>
  <c r="N14" i="1" s="1"/>
  <c r="H14" i="1"/>
  <c r="AS13" i="1"/>
  <c r="X13" i="1"/>
  <c r="Y13" i="1" s="1"/>
  <c r="M13" i="1"/>
  <c r="N13" i="1" s="1"/>
  <c r="H13" i="1"/>
  <c r="AS12" i="1"/>
  <c r="M12" i="1"/>
  <c r="X12" i="1" s="1"/>
  <c r="H12" i="1"/>
  <c r="AS9" i="1"/>
  <c r="AR9" i="1"/>
  <c r="AQ9" i="1"/>
  <c r="AP9" i="1"/>
  <c r="AN9" i="1"/>
  <c r="AL9" i="1"/>
  <c r="AH9" i="1"/>
  <c r="AG9" i="1"/>
  <c r="AF9" i="1"/>
  <c r="AE9" i="1"/>
  <c r="AC9" i="1"/>
  <c r="AA9" i="1"/>
  <c r="W9" i="1"/>
  <c r="V9" i="1"/>
  <c r="U9" i="1"/>
  <c r="T9" i="1"/>
  <c r="R9" i="1"/>
  <c r="P9" i="1"/>
  <c r="L9" i="1"/>
  <c r="K9" i="1"/>
  <c r="J9" i="1"/>
  <c r="I9" i="1"/>
  <c r="G9" i="1"/>
  <c r="H9" i="1" s="1"/>
  <c r="E9" i="1"/>
  <c r="C9" i="1"/>
  <c r="AS8" i="1"/>
  <c r="M8" i="1"/>
  <c r="N8" i="1" s="1"/>
  <c r="H8" i="1"/>
  <c r="AS7" i="1"/>
  <c r="X7" i="1"/>
  <c r="Y7" i="1" s="1"/>
  <c r="M7" i="1"/>
  <c r="N7" i="1" s="1"/>
  <c r="H7" i="1"/>
  <c r="AS6" i="1"/>
  <c r="M6" i="1"/>
  <c r="X6" i="1" s="1"/>
  <c r="H6" i="1"/>
  <c r="AS5" i="1"/>
  <c r="M5" i="1"/>
  <c r="X5" i="1" s="1"/>
  <c r="H5" i="1"/>
  <c r="AS4" i="1"/>
  <c r="M4" i="1"/>
  <c r="X4" i="1" s="1"/>
  <c r="H4" i="1"/>
  <c r="AI6" i="1" l="1"/>
  <c r="Y6" i="1"/>
  <c r="Y16" i="1"/>
  <c r="AI16" i="1"/>
  <c r="N25" i="1"/>
  <c r="X25" i="1"/>
  <c r="AI12" i="1"/>
  <c r="Y12" i="1"/>
  <c r="X17" i="1"/>
  <c r="N17" i="1"/>
  <c r="Y28" i="1"/>
  <c r="AI28" i="1"/>
  <c r="AI23" i="1"/>
  <c r="Y23" i="1"/>
  <c r="AI29" i="1"/>
  <c r="Y29" i="1"/>
  <c r="N33" i="1"/>
  <c r="X33" i="1"/>
  <c r="AI4" i="1"/>
  <c r="Y4" i="1"/>
  <c r="AI30" i="1"/>
  <c r="Y30" i="1"/>
  <c r="AI20" i="1"/>
  <c r="Y20" i="1"/>
  <c r="AI39" i="1"/>
  <c r="Y39" i="1"/>
  <c r="AI5" i="1"/>
  <c r="Y5" i="1"/>
  <c r="AI15" i="1"/>
  <c r="Y15" i="1"/>
  <c r="AI31" i="1"/>
  <c r="Y31" i="1"/>
  <c r="AI21" i="1"/>
  <c r="Y21" i="1"/>
  <c r="AI40" i="1"/>
  <c r="Y40" i="1"/>
  <c r="Y22" i="1"/>
  <c r="AI22" i="1"/>
  <c r="AI41" i="1"/>
  <c r="Y41" i="1"/>
  <c r="N30" i="1"/>
  <c r="N39" i="1"/>
  <c r="N12" i="1"/>
  <c r="N41" i="1"/>
  <c r="H17" i="1"/>
  <c r="X8" i="1"/>
  <c r="X14" i="1"/>
  <c r="N5" i="1"/>
  <c r="N31" i="1"/>
  <c r="N40" i="1"/>
  <c r="N16" i="1"/>
  <c r="N22" i="1"/>
  <c r="N28" i="1"/>
  <c r="AI7" i="1"/>
  <c r="AI13" i="1"/>
  <c r="X24" i="1"/>
  <c r="N21" i="1"/>
  <c r="N6" i="1"/>
  <c r="X32" i="1"/>
  <c r="N23" i="1"/>
  <c r="N29" i="1"/>
  <c r="M9" i="1"/>
  <c r="N20" i="1"/>
  <c r="N4" i="1"/>
  <c r="N15" i="1"/>
  <c r="AT21" i="1" l="1"/>
  <c r="AJ21" i="1"/>
  <c r="AI14" i="1"/>
  <c r="Y14" i="1"/>
  <c r="AT29" i="1"/>
  <c r="AJ29" i="1"/>
  <c r="AT15" i="1"/>
  <c r="AJ15" i="1"/>
  <c r="AJ5" i="1"/>
  <c r="AT5" i="1"/>
  <c r="AI17" i="1"/>
  <c r="Y17" i="1"/>
  <c r="AJ31" i="1"/>
  <c r="AT31" i="1"/>
  <c r="X9" i="1"/>
  <c r="N9" i="1"/>
  <c r="AI8" i="1"/>
  <c r="Y8" i="1"/>
  <c r="AT23" i="1"/>
  <c r="AJ23" i="1"/>
  <c r="AJ28" i="1"/>
  <c r="AT28" i="1"/>
  <c r="AI32" i="1"/>
  <c r="Y32" i="1"/>
  <c r="AT39" i="1"/>
  <c r="AU39" i="1" s="1"/>
  <c r="AJ39" i="1"/>
  <c r="Y24" i="1"/>
  <c r="AI24" i="1"/>
  <c r="AT13" i="1"/>
  <c r="AJ13" i="1"/>
  <c r="AT41" i="1"/>
  <c r="AU41" i="1" s="1"/>
  <c r="AJ41" i="1"/>
  <c r="AT20" i="1"/>
  <c r="AJ20" i="1"/>
  <c r="AJ12" i="1"/>
  <c r="AT12" i="1"/>
  <c r="AJ7" i="1"/>
  <c r="AT7" i="1"/>
  <c r="AT22" i="1"/>
  <c r="AJ22" i="1"/>
  <c r="Y25" i="1"/>
  <c r="AI25" i="1"/>
  <c r="AJ30" i="1"/>
  <c r="AT30" i="1"/>
  <c r="AJ16" i="1"/>
  <c r="AT16" i="1"/>
  <c r="AJ40" i="1"/>
  <c r="AT40" i="1"/>
  <c r="AU40" i="1" s="1"/>
  <c r="AT4" i="1"/>
  <c r="AJ4" i="1"/>
  <c r="AI33" i="1"/>
  <c r="Y33" i="1"/>
  <c r="AJ6" i="1"/>
  <c r="AT6" i="1"/>
  <c r="AJ17" i="1" l="1"/>
  <c r="AT17" i="1"/>
  <c r="AT25" i="1"/>
  <c r="AJ25" i="1"/>
  <c r="AJ33" i="1"/>
  <c r="AT33" i="1"/>
  <c r="AU33" i="1" s="1"/>
  <c r="AT14" i="1"/>
  <c r="AJ14" i="1"/>
  <c r="Y9" i="1"/>
  <c r="AI9" i="1"/>
  <c r="AT24" i="1"/>
  <c r="AJ24" i="1"/>
  <c r="AT32" i="1"/>
  <c r="AJ32" i="1"/>
  <c r="AT8" i="1"/>
  <c r="AJ8" i="1"/>
  <c r="AJ9" i="1" l="1"/>
  <c r="AT9" i="1"/>
</calcChain>
</file>

<file path=xl/sharedStrings.xml><?xml version="1.0" encoding="utf-8"?>
<sst xmlns="http://schemas.openxmlformats.org/spreadsheetml/2006/main" count="241" uniqueCount="29">
  <si>
    <t>W0 - 02/02/2026</t>
  </si>
  <si>
    <t>W1 - 09/02/2026</t>
  </si>
  <si>
    <t>W2 - 16/02/2026</t>
  </si>
  <si>
    <t>W3 - 23/02/2026</t>
  </si>
  <si>
    <t>Demanda</t>
  </si>
  <si>
    <t>PROD</t>
  </si>
  <si>
    <t>Estoque</t>
  </si>
  <si>
    <t>GEO/REG</t>
  </si>
  <si>
    <t>WSNP</t>
  </si>
  <si>
    <t>EI Semana</t>
  </si>
  <si>
    <t>Suf.ini(d)</t>
  </si>
  <si>
    <t>Transf. Interna</t>
  </si>
  <si>
    <t>Transf. Ext (Cabo)</t>
  </si>
  <si>
    <t>Transf. Ext (Rodo)</t>
  </si>
  <si>
    <t>Trânsito</t>
  </si>
  <si>
    <t>EF Semana</t>
  </si>
  <si>
    <t>Suf. f (d)</t>
  </si>
  <si>
    <t>Malha</t>
  </si>
  <si>
    <t>PATAGONIA AMBER LAGER LN355ML CX12</t>
  </si>
  <si>
    <t>Mapapi</t>
  </si>
  <si>
    <t>NE Norte</t>
  </si>
  <si>
    <t>NE Sul</t>
  </si>
  <si>
    <t>NO Araguaia</t>
  </si>
  <si>
    <t>NO Centro</t>
  </si>
  <si>
    <t>TOTAL</t>
  </si>
  <si>
    <t>GOOSE ISLAND MIDWAY NAC LN 355ML CX C/12</t>
  </si>
  <si>
    <t>MALZBIER BRAHMA LN355ML SIX PAC BAND C/4</t>
  </si>
  <si>
    <t>COLORADO LAGER LN 355ML CX C/12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</si>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</sst>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3"/>
      <color theme="0"/>
      <name val="Arial"/>
      <family val="2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hair">
        <color theme="0" tint="-0.14999847407452621"/>
      </left>
      <right/>
      <top style="hair">
        <color theme="0" tint="-0.14999847407452621"/>
      </top>
      <bottom/>
      <diagonal/>
    </border>
    <border>
      <left/>
      <right/>
      <top style="hair">
        <color theme="0" tint="-0.14999847407452621"/>
      </top>
      <bottom/>
      <diagonal/>
    </border>
    <border>
      <left/>
      <right style="hair">
        <color theme="0" tint="-0.14999847407452621"/>
      </right>
      <top/>
      <bottom/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/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 style="hair">
        <color theme="0" tint="-0.14999847407452621"/>
      </left>
      <right style="hair">
        <color theme="0" tint="-0.14999847407452621"/>
      </right>
      <top/>
      <bottom style="hair">
        <color theme="0" tint="-0.14999847407452621"/>
      </bottom>
      <diagonal/>
    </border>
    <border>
      <left/>
      <right style="hair">
        <color theme="0" tint="-0.14999847407452621"/>
      </right>
      <top/>
      <bottom style="hair">
        <color theme="0" tint="-0.1499984740745262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 applyAlignment="1">
      <alignment wrapText="1"/>
    </xf>
    <xf numFmtId="16" fontId="5" fillId="2" borderId="0" xfId="0" applyNumberFormat="1" applyFont="1" applyFill="1" applyAlignment="1">
      <alignment horizontal="center"/>
    </xf>
    <xf numFmtId="0" fontId="4" fillId="0" borderId="0" xfId="0" applyFont="1"/>
    <xf numFmtId="0" fontId="6" fillId="0" borderId="0" xfId="0" applyFont="1" applyAlignment="1">
      <alignment wrapText="1"/>
    </xf>
    <xf numFmtId="0" fontId="7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3" fillId="0" borderId="0" xfId="0" applyFont="1" applyAlignment="1">
      <alignment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64" fontId="2" fillId="5" borderId="0" xfId="0" applyNumberFormat="1" applyFont="1" applyFill="1" applyAlignment="1">
      <alignment horizontal="center" vertical="center" wrapText="1"/>
    </xf>
    <xf numFmtId="0" fontId="0" fillId="0" borderId="3" xfId="0" applyBorder="1"/>
    <xf numFmtId="2" fontId="8" fillId="3" borderId="0" xfId="0" applyNumberFormat="1" applyFont="1" applyFill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3" fontId="0" fillId="0" borderId="4" xfId="0" applyNumberFormat="1" applyBorder="1" applyAlignment="1">
      <alignment horizontal="center"/>
    </xf>
    <xf numFmtId="3" fontId="0" fillId="6" borderId="4" xfId="0" applyNumberFormat="1" applyFill="1" applyBorder="1" applyAlignment="1">
      <alignment horizontal="center"/>
    </xf>
    <xf numFmtId="3" fontId="0" fillId="7" borderId="5" xfId="0" applyNumberFormat="1" applyFill="1" applyBorder="1" applyAlignment="1">
      <alignment horizontal="center" vertical="center" wrapText="1"/>
    </xf>
    <xf numFmtId="164" fontId="0" fillId="6" borderId="4" xfId="0" applyNumberForma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3" fontId="2" fillId="8" borderId="6" xfId="0" applyNumberFormat="1" applyFont="1" applyFill="1" applyBorder="1" applyAlignment="1">
      <alignment horizontal="left"/>
    </xf>
    <xf numFmtId="3" fontId="2" fillId="8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3" fontId="0" fillId="0" borderId="0" xfId="0" applyNumberFormat="1"/>
    <xf numFmtId="0" fontId="0" fillId="0" borderId="7" xfId="0" applyBorder="1"/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1" fillId="3" borderId="0" xfId="0" applyFont="1" applyFill="1" applyAlignment="1">
      <alignment horizontal="left"/>
    </xf>
    <xf numFmtId="3" fontId="0" fillId="0" borderId="5" xfId="0" applyNumberFormat="1" applyBorder="1" applyAlignment="1">
      <alignment horizontal="center"/>
    </xf>
  </cellXfs>
  <cellStyles count="1">
    <cellStyle name="Normal" xfId="0" builtinId="0"/>
  </cellStyles>
  <dxfs count="30"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7" tint="-0.24994659260841701"/>
      </font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9"/>
      </font>
    </dxf>
    <dxf>
      <font>
        <color rgb="FFFF9B9B"/>
      </font>
    </dxf>
    <dxf>
      <font>
        <color theme="7" tint="-0.24994659260841701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54B3-708A-400D-817D-870DEFA1E98F}">
  <dimension ref="A1:AW41"/>
  <sheetViews>
    <sheetView tabSelected="1" workbookViewId="0">
      <selection activeCell="F3" sqref="F3"/>
    </sheetView>
  </sheetViews>
  <sheetFormatPr defaultRowHeight="14.4" x14ac:dyDescent="0.3"/>
  <sheetData>
    <row r="1" spans="1:49" ht="23.4" x14ac:dyDescent="0.4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3"/>
      <c r="AA1" s="2" t="s">
        <v>2</v>
      </c>
      <c r="AB1" s="2"/>
      <c r="AC1" s="2"/>
      <c r="AD1" s="2"/>
      <c r="AE1" s="2"/>
      <c r="AF1" s="2"/>
      <c r="AG1" s="2"/>
      <c r="AH1" s="2"/>
      <c r="AI1" s="2"/>
      <c r="AJ1" s="2"/>
      <c r="AK1" s="3"/>
      <c r="AL1" s="2" t="s">
        <v>3</v>
      </c>
      <c r="AM1" s="2"/>
      <c r="AN1" s="2"/>
      <c r="AO1" s="2"/>
      <c r="AP1" s="2"/>
      <c r="AQ1" s="2"/>
      <c r="AR1" s="2"/>
      <c r="AS1" s="2"/>
      <c r="AT1" s="2"/>
      <c r="AU1" s="2"/>
    </row>
    <row r="2" spans="1:49" ht="18" x14ac:dyDescent="0.35">
      <c r="A2" s="4"/>
      <c r="B2" s="5" t="s">
        <v>4</v>
      </c>
      <c r="C2" s="5"/>
      <c r="D2" s="6"/>
      <c r="E2" s="7" t="s">
        <v>5</v>
      </c>
      <c r="F2" s="6"/>
      <c r="G2" s="5" t="s">
        <v>6</v>
      </c>
      <c r="H2" s="5"/>
      <c r="I2" s="5"/>
      <c r="J2" s="5"/>
      <c r="K2" s="5"/>
      <c r="L2" s="5"/>
      <c r="M2" s="5"/>
      <c r="N2" s="7"/>
      <c r="P2" s="7" t="s">
        <v>4</v>
      </c>
      <c r="Q2" s="8"/>
      <c r="R2" s="7" t="s">
        <v>5</v>
      </c>
      <c r="S2" s="9"/>
      <c r="T2" s="5" t="s">
        <v>6</v>
      </c>
      <c r="U2" s="5"/>
      <c r="V2" s="5"/>
      <c r="W2" s="5"/>
      <c r="X2" s="5"/>
      <c r="Y2" s="5"/>
      <c r="Z2" s="8"/>
      <c r="AA2" s="7" t="s">
        <v>4</v>
      </c>
      <c r="AB2" s="10"/>
      <c r="AC2" s="7" t="s">
        <v>5</v>
      </c>
      <c r="AD2" s="9"/>
      <c r="AE2" s="5" t="s">
        <v>6</v>
      </c>
      <c r="AF2" s="5"/>
      <c r="AG2" s="5"/>
      <c r="AH2" s="5"/>
      <c r="AI2" s="5"/>
      <c r="AJ2" s="5"/>
      <c r="AK2" s="8"/>
      <c r="AL2" s="7" t="s">
        <v>4</v>
      </c>
      <c r="AM2" s="10"/>
      <c r="AN2" s="7" t="s">
        <v>5</v>
      </c>
      <c r="AO2" s="9"/>
      <c r="AP2" s="5" t="s">
        <v>6</v>
      </c>
      <c r="AQ2" s="5"/>
      <c r="AR2" s="5"/>
      <c r="AS2" s="5"/>
      <c r="AT2" s="5"/>
      <c r="AU2" s="5"/>
    </row>
    <row r="3" spans="1:49" ht="43.2" x14ac:dyDescent="0.3">
      <c r="A3" s="11"/>
      <c r="B3" s="12" t="s">
        <v>7</v>
      </c>
      <c r="C3" s="13" t="s">
        <v>4</v>
      </c>
      <c r="D3" s="6"/>
      <c r="E3" s="13" t="s">
        <v>8</v>
      </c>
      <c r="F3" s="6"/>
      <c r="G3" s="14" t="s">
        <v>9</v>
      </c>
      <c r="H3" s="15" t="s">
        <v>10</v>
      </c>
      <c r="I3" s="14" t="s">
        <v>11</v>
      </c>
      <c r="J3" s="14" t="s">
        <v>12</v>
      </c>
      <c r="K3" s="14" t="s">
        <v>13</v>
      </c>
      <c r="L3" s="14" t="s">
        <v>14</v>
      </c>
      <c r="M3" s="14" t="s">
        <v>15</v>
      </c>
      <c r="N3" s="15" t="s">
        <v>16</v>
      </c>
      <c r="P3" s="13" t="s">
        <v>4</v>
      </c>
      <c r="Q3" s="16"/>
      <c r="R3" s="14" t="s">
        <v>8</v>
      </c>
      <c r="S3" s="6"/>
      <c r="T3" s="14" t="s">
        <v>11</v>
      </c>
      <c r="U3" s="14" t="s">
        <v>12</v>
      </c>
      <c r="V3" s="14" t="s">
        <v>13</v>
      </c>
      <c r="W3" s="14" t="s">
        <v>14</v>
      </c>
      <c r="X3" s="14" t="s">
        <v>15</v>
      </c>
      <c r="Y3" s="15" t="s">
        <v>16</v>
      </c>
      <c r="AA3" s="14" t="s">
        <v>4</v>
      </c>
      <c r="AB3" s="6">
        <v>0</v>
      </c>
      <c r="AC3" s="14" t="s">
        <v>17</v>
      </c>
      <c r="AD3" s="9"/>
      <c r="AE3" s="14" t="s">
        <v>11</v>
      </c>
      <c r="AF3" s="14" t="s">
        <v>12</v>
      </c>
      <c r="AG3" s="14" t="s">
        <v>13</v>
      </c>
      <c r="AH3" s="14" t="s">
        <v>14</v>
      </c>
      <c r="AI3" s="14" t="s">
        <v>15</v>
      </c>
      <c r="AJ3" s="15" t="s">
        <v>16</v>
      </c>
      <c r="AL3" s="14" t="s">
        <v>4</v>
      </c>
      <c r="AM3" s="6"/>
      <c r="AN3" s="14" t="s">
        <v>17</v>
      </c>
      <c r="AO3" s="9"/>
      <c r="AP3" s="14" t="s">
        <v>11</v>
      </c>
      <c r="AQ3" s="14" t="s">
        <v>12</v>
      </c>
      <c r="AR3" s="14" t="s">
        <v>13</v>
      </c>
      <c r="AS3" s="14" t="s">
        <v>14</v>
      </c>
      <c r="AT3" s="14" t="s">
        <v>15</v>
      </c>
      <c r="AU3" s="15" t="s">
        <v>16</v>
      </c>
    </row>
    <row r="4" spans="1:49" x14ac:dyDescent="0.3">
      <c r="A4" s="17" t="s">
        <v>18</v>
      </c>
      <c r="B4" s="18" t="s">
        <v>19</v>
      </c>
      <c r="C4" s="19">
        <v>2292.9119999999998</v>
      </c>
      <c r="D4" s="6"/>
      <c r="E4" s="20">
        <v>99</v>
      </c>
      <c r="F4" s="6"/>
      <c r="G4" s="19">
        <v>3440.1780000000003</v>
      </c>
      <c r="H4" s="21">
        <f t="shared" ref="H4:H9" si="0">G4/(C4/6)</f>
        <v>9.0021195754568879</v>
      </c>
      <c r="I4" s="22">
        <v>4681</v>
      </c>
      <c r="J4" s="22">
        <v>0</v>
      </c>
      <c r="K4" s="22">
        <v>0</v>
      </c>
      <c r="L4" s="23">
        <v>0</v>
      </c>
      <c r="M4" s="23">
        <f t="shared" ref="M4:M9" si="1">G4+E4-C4+K4+L4+I4+IF(J4&lt;0,J4,0)</f>
        <v>5927.2660000000005</v>
      </c>
      <c r="N4" s="21">
        <f t="shared" ref="N4:N7" si="2">M4/(P4/6)</f>
        <v>12.202950646869414</v>
      </c>
      <c r="P4" s="19">
        <v>2914.3440000000005</v>
      </c>
      <c r="Q4" s="16"/>
      <c r="R4" s="20">
        <v>1667</v>
      </c>
      <c r="S4" s="6"/>
      <c r="T4" s="22">
        <v>725</v>
      </c>
      <c r="U4" s="22">
        <v>0</v>
      </c>
      <c r="V4" s="22">
        <v>0</v>
      </c>
      <c r="W4" s="23">
        <v>0</v>
      </c>
      <c r="X4" s="23">
        <f t="shared" ref="X4:X9" si="3">M4-P4+R4+T4+W4+V4+IF(U4&lt;0,U4,0)</f>
        <v>5404.9220000000005</v>
      </c>
      <c r="Y4" s="21">
        <f t="shared" ref="Y4:Y9" si="4">X4/(AA4/6)</f>
        <v>14.999048150275707</v>
      </c>
      <c r="AA4" s="19">
        <v>2162.1059999999998</v>
      </c>
      <c r="AB4" s="6">
        <v>0</v>
      </c>
      <c r="AC4" s="20">
        <v>0</v>
      </c>
      <c r="AD4" s="9"/>
      <c r="AE4" s="22">
        <v>1421</v>
      </c>
      <c r="AF4" s="22">
        <v>0</v>
      </c>
      <c r="AG4" s="22">
        <v>0</v>
      </c>
      <c r="AH4" s="23">
        <v>0</v>
      </c>
      <c r="AI4" s="23">
        <f t="shared" ref="AI4:AI9" si="5">X4-AA4+AC4+AE4+AH4+AG4+IF(AF4&lt;0,AF4,0)</f>
        <v>4663.8160000000007</v>
      </c>
      <c r="AJ4" s="21">
        <f t="shared" ref="AJ4:AJ9" si="6">AI4/(AL4/6)</f>
        <v>12.000596965767103</v>
      </c>
      <c r="AL4" s="19">
        <v>2331.7919999999999</v>
      </c>
      <c r="AM4" s="6"/>
      <c r="AN4" s="20">
        <v>0</v>
      </c>
      <c r="AO4" s="9"/>
      <c r="AP4" s="22">
        <v>2713</v>
      </c>
      <c r="AQ4" s="22">
        <v>0</v>
      </c>
      <c r="AR4" s="22">
        <v>0</v>
      </c>
      <c r="AS4" s="23">
        <f t="shared" ref="AS4:AS9" si="7">IF(J4&gt;0,J4,0)</f>
        <v>0</v>
      </c>
      <c r="AT4" s="23">
        <f t="shared" ref="AT4:AT9" si="8">AI4-AL4+AN4+AP4+AS4+AR4+IF(AQ4&lt;0,AQ4,0)</f>
        <v>5045.0240000000013</v>
      </c>
      <c r="AU4" s="21">
        <f>AT4/(AW4/6)</f>
        <v>12.002436161776371</v>
      </c>
      <c r="AW4">
        <v>2522</v>
      </c>
    </row>
    <row r="5" spans="1:49" x14ac:dyDescent="0.3">
      <c r="A5" s="24"/>
      <c r="B5" s="18" t="s">
        <v>20</v>
      </c>
      <c r="C5" s="19">
        <v>2675.1780000000008</v>
      </c>
      <c r="D5" s="6"/>
      <c r="E5" s="20">
        <v>116</v>
      </c>
      <c r="F5" s="6"/>
      <c r="G5" s="19">
        <v>6085.2420000000002</v>
      </c>
      <c r="H5" s="21">
        <f t="shared" si="0"/>
        <v>13.648232753110257</v>
      </c>
      <c r="I5" s="22">
        <v>1579</v>
      </c>
      <c r="J5" s="22">
        <v>0</v>
      </c>
      <c r="K5" s="22">
        <v>0</v>
      </c>
      <c r="L5" s="23">
        <v>0</v>
      </c>
      <c r="M5" s="23">
        <f t="shared" si="1"/>
        <v>5105.0639999999994</v>
      </c>
      <c r="N5" s="21">
        <f t="shared" si="2"/>
        <v>12.27937451743024</v>
      </c>
      <c r="P5" s="19">
        <v>2494.4579999999996</v>
      </c>
      <c r="Q5" s="16"/>
      <c r="R5" s="20">
        <v>925</v>
      </c>
      <c r="S5" s="6"/>
      <c r="T5" s="22">
        <v>1034</v>
      </c>
      <c r="U5" s="22">
        <v>0</v>
      </c>
      <c r="V5" s="22">
        <v>0</v>
      </c>
      <c r="W5" s="23">
        <v>0</v>
      </c>
      <c r="X5" s="23">
        <f t="shared" si="3"/>
        <v>4569.6059999999998</v>
      </c>
      <c r="Y5" s="21">
        <f t="shared" si="4"/>
        <v>15.044416130848321</v>
      </c>
      <c r="AA5" s="19">
        <v>1822.4459999999999</v>
      </c>
      <c r="AB5" s="6">
        <v>0</v>
      </c>
      <c r="AC5" s="20">
        <v>0</v>
      </c>
      <c r="AD5" s="9"/>
      <c r="AE5" s="22">
        <v>1266</v>
      </c>
      <c r="AF5" s="22">
        <v>0</v>
      </c>
      <c r="AG5" s="22">
        <v>0</v>
      </c>
      <c r="AH5" s="23">
        <v>0</v>
      </c>
      <c r="AI5" s="23">
        <f t="shared" si="5"/>
        <v>4013.16</v>
      </c>
      <c r="AJ5" s="21">
        <f t="shared" si="6"/>
        <v>11.997273591505083</v>
      </c>
      <c r="AL5" s="19">
        <v>2007.0360000000001</v>
      </c>
      <c r="AM5" s="6"/>
      <c r="AN5" s="20">
        <v>0</v>
      </c>
      <c r="AO5" s="9"/>
      <c r="AP5" s="22">
        <v>3878</v>
      </c>
      <c r="AQ5" s="22">
        <v>0</v>
      </c>
      <c r="AR5" s="22">
        <v>0</v>
      </c>
      <c r="AS5" s="23">
        <f t="shared" si="7"/>
        <v>0</v>
      </c>
      <c r="AT5" s="23">
        <f t="shared" si="8"/>
        <v>5884.1239999999998</v>
      </c>
      <c r="AU5" s="21">
        <f>AT5/(AW5/6)</f>
        <v>11.996175331294596</v>
      </c>
      <c r="AW5">
        <v>2943</v>
      </c>
    </row>
    <row r="6" spans="1:49" x14ac:dyDescent="0.3">
      <c r="A6" s="24"/>
      <c r="B6" s="18" t="s">
        <v>21</v>
      </c>
      <c r="C6" s="19">
        <v>2066.364</v>
      </c>
      <c r="D6" s="6"/>
      <c r="E6" s="20">
        <v>90</v>
      </c>
      <c r="F6" s="6"/>
      <c r="G6" s="19">
        <v>5463.7020000000011</v>
      </c>
      <c r="H6" s="21">
        <f t="shared" si="0"/>
        <v>15.864684053729162</v>
      </c>
      <c r="I6" s="22">
        <v>924</v>
      </c>
      <c r="J6" s="22">
        <v>0</v>
      </c>
      <c r="K6" s="22">
        <v>0</v>
      </c>
      <c r="L6" s="23">
        <v>0</v>
      </c>
      <c r="M6" s="23">
        <f t="shared" si="1"/>
        <v>4411.3380000000016</v>
      </c>
      <c r="N6" s="21">
        <f t="shared" si="2"/>
        <v>12.250960200621533</v>
      </c>
      <c r="P6" s="19">
        <v>2160.4859999999999</v>
      </c>
      <c r="Q6" s="16"/>
      <c r="R6" s="20">
        <v>801</v>
      </c>
      <c r="S6" s="6"/>
      <c r="T6" s="22">
        <v>878</v>
      </c>
      <c r="U6" s="22">
        <v>0</v>
      </c>
      <c r="V6" s="22">
        <v>0</v>
      </c>
      <c r="W6" s="23">
        <v>0</v>
      </c>
      <c r="X6" s="23">
        <f t="shared" si="3"/>
        <v>3929.8520000000017</v>
      </c>
      <c r="Y6" s="21">
        <f t="shared" si="4"/>
        <v>15.075618775798313</v>
      </c>
      <c r="AA6" s="19">
        <v>1564.0560000000003</v>
      </c>
      <c r="AB6" s="6">
        <v>0</v>
      </c>
      <c r="AC6" s="20">
        <v>0</v>
      </c>
      <c r="AD6" s="9"/>
      <c r="AE6" s="22">
        <v>1095</v>
      </c>
      <c r="AF6" s="22">
        <v>0</v>
      </c>
      <c r="AG6" s="22">
        <v>0</v>
      </c>
      <c r="AH6" s="23">
        <v>0</v>
      </c>
      <c r="AI6" s="23">
        <f t="shared" si="5"/>
        <v>3460.7960000000012</v>
      </c>
      <c r="AJ6" s="21">
        <f t="shared" si="6"/>
        <v>12.000776750201993</v>
      </c>
      <c r="AL6" s="19">
        <v>1730.2860000000001</v>
      </c>
      <c r="AM6" s="6"/>
      <c r="AN6" s="20">
        <v>0</v>
      </c>
      <c r="AO6" s="9"/>
      <c r="AP6" s="22">
        <v>2816</v>
      </c>
      <c r="AQ6" s="22">
        <v>0</v>
      </c>
      <c r="AR6" s="22">
        <v>0</v>
      </c>
      <c r="AS6" s="23">
        <f t="shared" si="7"/>
        <v>0</v>
      </c>
      <c r="AT6" s="23">
        <f t="shared" si="8"/>
        <v>4546.5100000000011</v>
      </c>
      <c r="AU6" s="21">
        <f>AT6/(AW6/6)</f>
        <v>12.00134623845139</v>
      </c>
      <c r="AW6">
        <v>2273</v>
      </c>
    </row>
    <row r="7" spans="1:49" ht="28.8" x14ac:dyDescent="0.3">
      <c r="A7" s="24"/>
      <c r="B7" s="18" t="s">
        <v>22</v>
      </c>
      <c r="C7" s="19">
        <v>114.17400000000001</v>
      </c>
      <c r="D7" s="6"/>
      <c r="E7" s="20">
        <v>0</v>
      </c>
      <c r="F7" s="6"/>
      <c r="G7" s="19">
        <v>0</v>
      </c>
      <c r="H7" s="21">
        <f t="shared" si="0"/>
        <v>0</v>
      </c>
      <c r="I7" s="22">
        <v>0</v>
      </c>
      <c r="J7" s="22">
        <v>0</v>
      </c>
      <c r="K7" s="22">
        <v>0</v>
      </c>
      <c r="L7" s="23">
        <v>0</v>
      </c>
      <c r="M7" s="23">
        <f t="shared" si="1"/>
        <v>-114.17400000000001</v>
      </c>
      <c r="N7" s="21">
        <f t="shared" si="2"/>
        <v>-5.0387925327684364</v>
      </c>
      <c r="P7" s="19">
        <v>135.95400000000001</v>
      </c>
      <c r="Q7" s="16"/>
      <c r="R7" s="20">
        <v>0</v>
      </c>
      <c r="S7" s="6"/>
      <c r="T7" s="22">
        <v>0</v>
      </c>
      <c r="U7" s="22">
        <v>0</v>
      </c>
      <c r="V7" s="22">
        <v>0</v>
      </c>
      <c r="W7" s="23">
        <v>0</v>
      </c>
      <c r="X7" s="23">
        <f t="shared" si="3"/>
        <v>-250.12800000000001</v>
      </c>
      <c r="Y7" s="21">
        <f t="shared" si="4"/>
        <v>-16.29392222005081</v>
      </c>
      <c r="AA7" s="19">
        <v>92.106000000000009</v>
      </c>
      <c r="AB7" s="6">
        <v>0</v>
      </c>
      <c r="AC7" s="20">
        <v>0</v>
      </c>
      <c r="AD7" s="9"/>
      <c r="AE7" s="22">
        <v>0</v>
      </c>
      <c r="AF7" s="22">
        <v>0</v>
      </c>
      <c r="AG7" s="22">
        <v>0</v>
      </c>
      <c r="AH7" s="23">
        <v>0</v>
      </c>
      <c r="AI7" s="23">
        <f t="shared" si="5"/>
        <v>-342.23400000000004</v>
      </c>
      <c r="AJ7" s="21">
        <f t="shared" si="6"/>
        <v>-21.27923894795747</v>
      </c>
      <c r="AL7" s="19">
        <v>96.498000000000005</v>
      </c>
      <c r="AM7" s="6"/>
      <c r="AN7" s="20">
        <v>0</v>
      </c>
      <c r="AO7" s="9"/>
      <c r="AP7" s="22">
        <v>0</v>
      </c>
      <c r="AQ7" s="22">
        <v>0</v>
      </c>
      <c r="AR7" s="22">
        <v>0</v>
      </c>
      <c r="AS7" s="23">
        <f t="shared" si="7"/>
        <v>0</v>
      </c>
      <c r="AT7" s="23">
        <f t="shared" si="8"/>
        <v>-438.73200000000003</v>
      </c>
      <c r="AU7" s="21" t="e">
        <f>AT7/(AW7/6)</f>
        <v>#DIV/0!</v>
      </c>
      <c r="AW7">
        <v>0</v>
      </c>
    </row>
    <row r="8" spans="1:49" ht="28.8" x14ac:dyDescent="0.3">
      <c r="A8" s="24"/>
      <c r="B8" s="18" t="s">
        <v>23</v>
      </c>
      <c r="C8" s="19">
        <v>1270.6560000000002</v>
      </c>
      <c r="D8" s="6"/>
      <c r="E8" s="20">
        <v>12240</v>
      </c>
      <c r="F8" s="6"/>
      <c r="G8" s="19">
        <v>4734.4740000000002</v>
      </c>
      <c r="H8" s="21">
        <f t="shared" si="0"/>
        <v>22.356046010879417</v>
      </c>
      <c r="I8" s="22">
        <v>-7184</v>
      </c>
      <c r="J8" s="22">
        <v>-3355</v>
      </c>
      <c r="K8" s="22">
        <v>0</v>
      </c>
      <c r="L8" s="23">
        <v>0</v>
      </c>
      <c r="M8" s="23">
        <f t="shared" si="1"/>
        <v>5164.8180000000011</v>
      </c>
      <c r="N8" s="21">
        <f>M8/(P8/6)</f>
        <v>20.079847908745251</v>
      </c>
      <c r="P8" s="19">
        <v>1543.2839999999999</v>
      </c>
      <c r="Q8" s="16"/>
      <c r="R8" s="20">
        <v>2372</v>
      </c>
      <c r="S8" s="6"/>
      <c r="T8" s="22">
        <v>-2637</v>
      </c>
      <c r="U8" s="22">
        <v>-515</v>
      </c>
      <c r="V8" s="22">
        <v>0</v>
      </c>
      <c r="W8" s="23">
        <v>0</v>
      </c>
      <c r="X8" s="23">
        <f t="shared" si="3"/>
        <v>2841.5340000000015</v>
      </c>
      <c r="Y8" s="21">
        <f t="shared" si="4"/>
        <v>14.670146364129177</v>
      </c>
      <c r="AA8" s="19">
        <v>1162.17</v>
      </c>
      <c r="AB8" s="6">
        <v>0</v>
      </c>
      <c r="AC8" s="20">
        <v>5040</v>
      </c>
      <c r="AD8" s="9"/>
      <c r="AE8" s="22">
        <v>-3782</v>
      </c>
      <c r="AF8" s="22">
        <v>-35</v>
      </c>
      <c r="AG8" s="22">
        <v>0</v>
      </c>
      <c r="AH8" s="23">
        <v>0</v>
      </c>
      <c r="AI8" s="23">
        <f t="shared" si="5"/>
        <v>2902.3640000000014</v>
      </c>
      <c r="AJ8" s="21">
        <f t="shared" si="6"/>
        <v>13.489516957384611</v>
      </c>
      <c r="AL8" s="19">
        <v>1290.9420000000002</v>
      </c>
      <c r="AM8" s="6"/>
      <c r="AN8" s="20">
        <v>12600</v>
      </c>
      <c r="AO8" s="9"/>
      <c r="AP8" s="22">
        <v>-9407</v>
      </c>
      <c r="AQ8" s="22">
        <v>-1088</v>
      </c>
      <c r="AR8" s="22">
        <v>0</v>
      </c>
      <c r="AS8" s="23">
        <f t="shared" si="7"/>
        <v>0</v>
      </c>
      <c r="AT8" s="23">
        <f t="shared" si="8"/>
        <v>3716.4220000000005</v>
      </c>
      <c r="AU8" s="21">
        <f>AT8/(AW8/6)</f>
        <v>15.950309012875538</v>
      </c>
      <c r="AW8">
        <v>1398</v>
      </c>
    </row>
    <row r="9" spans="1:49" x14ac:dyDescent="0.3">
      <c r="A9" s="24"/>
      <c r="B9" s="25" t="s">
        <v>24</v>
      </c>
      <c r="C9" s="26">
        <f>(SUM(C4:C8))</f>
        <v>8419.2839999999997</v>
      </c>
      <c r="D9" s="6"/>
      <c r="E9" s="26">
        <f>(SUM(E4:E8))</f>
        <v>12545</v>
      </c>
      <c r="F9" s="6"/>
      <c r="G9" s="26">
        <f>(SUM(G4:G8))</f>
        <v>19723.596000000001</v>
      </c>
      <c r="H9" s="27">
        <f t="shared" si="0"/>
        <v>14.056014264395881</v>
      </c>
      <c r="I9" s="26">
        <f>(SUM(I4:I8))</f>
        <v>0</v>
      </c>
      <c r="J9" s="26">
        <f>(SUM(J4:J8))</f>
        <v>-3355</v>
      </c>
      <c r="K9" s="26">
        <f>(SUM(K4:K8))</f>
        <v>0</v>
      </c>
      <c r="L9" s="26">
        <f>(SUM(L4:L8))</f>
        <v>0</v>
      </c>
      <c r="M9" s="26">
        <f t="shared" si="1"/>
        <v>20494.312000000002</v>
      </c>
      <c r="N9" s="27">
        <f>M9/(P9/6)</f>
        <v>13.295726475764896</v>
      </c>
      <c r="P9" s="26">
        <f>(SUM(P4:P8))</f>
        <v>9248.5259999999998</v>
      </c>
      <c r="Q9" s="16"/>
      <c r="R9" s="26">
        <f>(SUM(R4:R8))</f>
        <v>5765</v>
      </c>
      <c r="S9" s="6"/>
      <c r="T9" s="26">
        <f>(SUM(T4:T8))</f>
        <v>0</v>
      </c>
      <c r="U9" s="26">
        <f>(SUM(U4:U8))</f>
        <v>-515</v>
      </c>
      <c r="V9" s="26">
        <f>(SUM(V4:V8))</f>
        <v>0</v>
      </c>
      <c r="W9" s="26">
        <f>(SUM(W4:W8))</f>
        <v>0</v>
      </c>
      <c r="X9" s="26">
        <f t="shared" si="3"/>
        <v>16495.786</v>
      </c>
      <c r="Y9" s="27">
        <f t="shared" si="4"/>
        <v>14.548934834108591</v>
      </c>
      <c r="AA9" s="26">
        <f>(SUM(AA4:AA8))</f>
        <v>6802.884</v>
      </c>
      <c r="AB9" s="6">
        <v>0</v>
      </c>
      <c r="AC9" s="26">
        <f>(SUM(AC4:AC8))</f>
        <v>5040</v>
      </c>
      <c r="AD9" s="9"/>
      <c r="AE9" s="26">
        <f>(SUM(AE4:AE8))</f>
        <v>0</v>
      </c>
      <c r="AF9" s="26">
        <f>(SUM(AF4:AF8))</f>
        <v>-35</v>
      </c>
      <c r="AG9" s="26">
        <f>(SUM(AG4:AG8))</f>
        <v>0</v>
      </c>
      <c r="AH9" s="26">
        <f>(SUM(AH4:AH8))</f>
        <v>0</v>
      </c>
      <c r="AI9" s="26">
        <f t="shared" si="5"/>
        <v>14697.902</v>
      </c>
      <c r="AJ9" s="27">
        <f t="shared" si="6"/>
        <v>11.8268320728315</v>
      </c>
      <c r="AL9" s="26">
        <f>(SUM(AL4:AL8))</f>
        <v>7456.5539999999992</v>
      </c>
      <c r="AM9" s="6"/>
      <c r="AN9" s="26">
        <f>(SUM(AN4:AN8))</f>
        <v>12600</v>
      </c>
      <c r="AO9" s="9"/>
      <c r="AP9" s="26">
        <f>(SUM(AP4:AP8))</f>
        <v>0</v>
      </c>
      <c r="AQ9" s="26">
        <f>(SUM(AQ4:AQ8))</f>
        <v>-1088</v>
      </c>
      <c r="AR9" s="26">
        <f>(SUM(AR4:AR8))</f>
        <v>0</v>
      </c>
      <c r="AS9" s="26">
        <f t="shared" si="7"/>
        <v>0</v>
      </c>
      <c r="AT9" s="26">
        <f t="shared" si="8"/>
        <v>18753.348000000002</v>
      </c>
      <c r="AU9" s="27">
        <f t="shared" ref="AU9" si="9">AT9/(AL9/6)</f>
        <v>15.090092286597807</v>
      </c>
    </row>
    <row r="10" spans="1:49" x14ac:dyDescent="0.3">
      <c r="A10" s="28"/>
      <c r="D10" s="6"/>
      <c r="F10" s="6"/>
      <c r="S10" s="6"/>
    </row>
    <row r="11" spans="1:49" ht="43.2" x14ac:dyDescent="0.3">
      <c r="A11" s="29"/>
      <c r="B11" s="12" t="s">
        <v>7</v>
      </c>
      <c r="C11" s="13" t="s">
        <v>4</v>
      </c>
      <c r="D11" s="6"/>
      <c r="E11" s="13" t="s">
        <v>8</v>
      </c>
      <c r="F11" s="6"/>
      <c r="G11" s="14" t="s">
        <v>9</v>
      </c>
      <c r="H11" s="15" t="s">
        <v>10</v>
      </c>
      <c r="I11" s="14" t="s">
        <v>11</v>
      </c>
      <c r="J11" s="14" t="s">
        <v>12</v>
      </c>
      <c r="K11" s="14" t="s">
        <v>13</v>
      </c>
      <c r="L11" s="14" t="s">
        <v>14</v>
      </c>
      <c r="M11" s="14" t="s">
        <v>15</v>
      </c>
      <c r="N11" s="15" t="s">
        <v>16</v>
      </c>
      <c r="P11" s="13" t="s">
        <v>4</v>
      </c>
      <c r="Q11" s="16"/>
      <c r="R11" s="13" t="s">
        <v>8</v>
      </c>
      <c r="S11" s="6"/>
      <c r="T11" s="14" t="s">
        <v>11</v>
      </c>
      <c r="U11" s="14" t="s">
        <v>12</v>
      </c>
      <c r="V11" s="14" t="s">
        <v>13</v>
      </c>
      <c r="W11" s="14" t="s">
        <v>14</v>
      </c>
      <c r="X11" s="14" t="s">
        <v>15</v>
      </c>
      <c r="Y11" s="15" t="s">
        <v>16</v>
      </c>
      <c r="AA11" s="14" t="s">
        <v>4</v>
      </c>
      <c r="AB11" s="6">
        <v>0</v>
      </c>
      <c r="AC11" s="13" t="s">
        <v>17</v>
      </c>
      <c r="AD11" s="9"/>
      <c r="AE11" s="14" t="s">
        <v>11</v>
      </c>
      <c r="AF11" s="14" t="s">
        <v>12</v>
      </c>
      <c r="AG11" s="14" t="s">
        <v>13</v>
      </c>
      <c r="AH11" s="14" t="s">
        <v>14</v>
      </c>
      <c r="AI11" s="14" t="s">
        <v>15</v>
      </c>
      <c r="AJ11" s="15" t="s">
        <v>16</v>
      </c>
      <c r="AL11" s="14" t="s">
        <v>4</v>
      </c>
      <c r="AM11" s="6"/>
      <c r="AN11" s="13" t="s">
        <v>17</v>
      </c>
      <c r="AO11" s="9"/>
      <c r="AP11" s="14" t="s">
        <v>11</v>
      </c>
      <c r="AQ11" s="14" t="s">
        <v>12</v>
      </c>
      <c r="AR11" s="14" t="s">
        <v>13</v>
      </c>
      <c r="AS11" s="14" t="s">
        <v>14</v>
      </c>
      <c r="AT11" s="14" t="s">
        <v>15</v>
      </c>
      <c r="AU11" s="15" t="s">
        <v>16</v>
      </c>
    </row>
    <row r="12" spans="1:49" x14ac:dyDescent="0.3">
      <c r="A12" s="17" t="s">
        <v>25</v>
      </c>
      <c r="B12" s="18" t="s">
        <v>19</v>
      </c>
      <c r="C12" s="19">
        <v>4732.5419999999995</v>
      </c>
      <c r="D12" s="6"/>
      <c r="E12" s="20">
        <v>0</v>
      </c>
      <c r="F12" s="6"/>
      <c r="G12" s="19">
        <v>5705.5860000000011</v>
      </c>
      <c r="H12" s="21">
        <f t="shared" ref="H12:H17" si="10">G12/(C12/6)</f>
        <v>7.233642300480378</v>
      </c>
      <c r="I12" s="22">
        <v>1955</v>
      </c>
      <c r="J12" s="22">
        <v>0</v>
      </c>
      <c r="K12" s="22">
        <v>7753</v>
      </c>
      <c r="L12" s="23">
        <v>0</v>
      </c>
      <c r="M12" s="23">
        <f t="shared" ref="M12:M17" si="11">G12+E12-C12+K12+L12+I12+IF(J12&lt;0,J12,0)</f>
        <v>10681.044000000002</v>
      </c>
      <c r="N12" s="21">
        <f>M12/(P12/6)</f>
        <v>11.999784294626576</v>
      </c>
      <c r="P12" s="19">
        <v>5340.6180000000013</v>
      </c>
      <c r="Q12" s="16"/>
      <c r="R12" s="20">
        <v>0</v>
      </c>
      <c r="S12" s="6"/>
      <c r="T12" s="22">
        <v>2338</v>
      </c>
      <c r="U12" s="22">
        <v>0</v>
      </c>
      <c r="V12" s="22">
        <v>0</v>
      </c>
      <c r="W12" s="23">
        <v>0</v>
      </c>
      <c r="X12" s="23">
        <f t="shared" ref="X12:X17" si="12">M12-P12+R12+T12+W12+V12+IF(U12&lt;0,U12,0)</f>
        <v>7678.4260000000004</v>
      </c>
      <c r="Y12" s="21">
        <f t="shared" ref="Y12:Y17" si="13">X12/(AA12/6)</f>
        <v>12.000146906906345</v>
      </c>
      <c r="AA12" s="19">
        <v>3839.1659999999997</v>
      </c>
      <c r="AB12" s="6">
        <v>0</v>
      </c>
      <c r="AC12" s="20">
        <v>0</v>
      </c>
      <c r="AD12" s="9"/>
      <c r="AE12" s="22">
        <v>0</v>
      </c>
      <c r="AF12" s="22">
        <v>0</v>
      </c>
      <c r="AG12" s="22">
        <v>4867</v>
      </c>
      <c r="AH12" s="23">
        <v>0</v>
      </c>
      <c r="AI12" s="23">
        <f t="shared" ref="AI12:AI17" si="14">X12-AA12+AC12+AE12+AH12+AG12+IF(AF12&lt;0,AF12,0)</f>
        <v>8706.26</v>
      </c>
      <c r="AJ12" s="21">
        <f>AI12/(AL12/6)</f>
        <v>12.000573407931501</v>
      </c>
      <c r="AL12" s="19">
        <v>4352.9219999999996</v>
      </c>
      <c r="AM12" s="6"/>
      <c r="AN12" s="20">
        <v>0</v>
      </c>
      <c r="AO12" s="9"/>
      <c r="AP12" s="22">
        <v>6059</v>
      </c>
      <c r="AQ12" s="22">
        <v>0</v>
      </c>
      <c r="AR12" s="22">
        <v>0</v>
      </c>
      <c r="AS12" s="23">
        <f t="shared" ref="AS12:AS17" si="15">IF(J12&gt;0,J12,0)</f>
        <v>0</v>
      </c>
      <c r="AT12" s="23">
        <f t="shared" ref="AT12:AT17" si="16">AI12-AL12+AN12+AP12+AS12+AR12+IF(AQ12&lt;0,AQ12,0)</f>
        <v>10412.338</v>
      </c>
      <c r="AU12" s="21">
        <f>AT12/(AW12/6)</f>
        <v>12.000389550518632</v>
      </c>
      <c r="AW12">
        <v>5206</v>
      </c>
    </row>
    <row r="13" spans="1:49" x14ac:dyDescent="0.3">
      <c r="A13" s="24"/>
      <c r="B13" s="18" t="s">
        <v>20</v>
      </c>
      <c r="C13" s="19">
        <v>3887.4599999999996</v>
      </c>
      <c r="D13" s="6"/>
      <c r="E13" s="20">
        <v>5400</v>
      </c>
      <c r="F13" s="6"/>
      <c r="G13" s="19">
        <v>12370.841999999999</v>
      </c>
      <c r="H13" s="21">
        <f t="shared" si="10"/>
        <v>19.09345742464231</v>
      </c>
      <c r="I13" s="22">
        <v>-8212</v>
      </c>
      <c r="J13" s="22">
        <v>2083</v>
      </c>
      <c r="K13" s="22">
        <v>0</v>
      </c>
      <c r="L13" s="23">
        <v>2000</v>
      </c>
      <c r="M13" s="23">
        <f t="shared" si="11"/>
        <v>7671.3819999999978</v>
      </c>
      <c r="N13" s="21">
        <f>M13/(P13/6)</f>
        <v>11.999602692307088</v>
      </c>
      <c r="P13" s="19">
        <v>3835.8179999999998</v>
      </c>
      <c r="Q13" s="16"/>
      <c r="R13" s="20">
        <v>14400</v>
      </c>
      <c r="S13" s="6"/>
      <c r="T13" s="22">
        <v>-5698</v>
      </c>
      <c r="U13" s="22">
        <v>2830</v>
      </c>
      <c r="V13" s="22">
        <v>0</v>
      </c>
      <c r="W13" s="23">
        <v>0</v>
      </c>
      <c r="X13" s="23">
        <f t="shared" si="12"/>
        <v>12537.563999999998</v>
      </c>
      <c r="Y13" s="21">
        <f t="shared" si="13"/>
        <v>25.160825772581411</v>
      </c>
      <c r="AA13" s="19">
        <v>2989.7819999999997</v>
      </c>
      <c r="AB13" s="6">
        <v>0</v>
      </c>
      <c r="AC13" s="20">
        <v>0</v>
      </c>
      <c r="AD13" s="9"/>
      <c r="AE13" s="22">
        <v>-2946</v>
      </c>
      <c r="AF13" s="22">
        <v>2762</v>
      </c>
      <c r="AG13" s="22">
        <v>0</v>
      </c>
      <c r="AH13" s="23">
        <v>0</v>
      </c>
      <c r="AI13" s="23">
        <f t="shared" si="14"/>
        <v>6601.7819999999992</v>
      </c>
      <c r="AJ13" s="21">
        <f>AI13/(AL13/6)</f>
        <v>12.000316286577453</v>
      </c>
      <c r="AL13" s="19">
        <v>3300.8039999999996</v>
      </c>
      <c r="AM13" s="6"/>
      <c r="AN13" s="20">
        <v>12600</v>
      </c>
      <c r="AO13" s="9"/>
      <c r="AP13" s="22">
        <v>-5044</v>
      </c>
      <c r="AQ13" s="22">
        <v>2770</v>
      </c>
      <c r="AR13" s="22">
        <v>0</v>
      </c>
      <c r="AS13" s="23">
        <f t="shared" si="15"/>
        <v>2083</v>
      </c>
      <c r="AT13" s="23">
        <f t="shared" si="16"/>
        <v>12939.977999999999</v>
      </c>
      <c r="AU13" s="21">
        <f>AT13/(AW13/6)</f>
        <v>18.157125350795134</v>
      </c>
      <c r="AW13">
        <v>4276</v>
      </c>
    </row>
    <row r="14" spans="1:49" x14ac:dyDescent="0.3">
      <c r="A14" s="24"/>
      <c r="B14" s="18" t="s">
        <v>21</v>
      </c>
      <c r="C14" s="19">
        <v>3197.2140000000009</v>
      </c>
      <c r="D14" s="6"/>
      <c r="E14" s="20">
        <v>0</v>
      </c>
      <c r="F14" s="6"/>
      <c r="G14" s="19">
        <v>6338.0039999999999</v>
      </c>
      <c r="H14" s="21">
        <f t="shared" si="10"/>
        <v>11.894112811966915</v>
      </c>
      <c r="I14" s="22">
        <v>638</v>
      </c>
      <c r="J14" s="22">
        <v>13243</v>
      </c>
      <c r="K14" s="22">
        <v>0</v>
      </c>
      <c r="L14" s="23">
        <v>2500</v>
      </c>
      <c r="M14" s="23">
        <f t="shared" si="11"/>
        <v>6278.7899999999991</v>
      </c>
      <c r="N14" s="21">
        <f>M14/(P14/6)</f>
        <v>11.99930054293921</v>
      </c>
      <c r="P14" s="19">
        <v>3139.5779999999995</v>
      </c>
      <c r="Q14" s="16"/>
      <c r="R14" s="20">
        <v>0</v>
      </c>
      <c r="S14" s="6"/>
      <c r="T14" s="22">
        <v>1632</v>
      </c>
      <c r="U14" s="22">
        <v>10000</v>
      </c>
      <c r="V14" s="22">
        <v>0</v>
      </c>
      <c r="W14" s="23">
        <v>0</v>
      </c>
      <c r="X14" s="23">
        <f t="shared" si="12"/>
        <v>4771.2119999999995</v>
      </c>
      <c r="Y14" s="21">
        <f t="shared" si="13"/>
        <v>11.99788770113989</v>
      </c>
      <c r="AA14" s="19">
        <v>2386.0259999999994</v>
      </c>
      <c r="AB14" s="6">
        <v>0</v>
      </c>
      <c r="AC14" s="20">
        <v>0</v>
      </c>
      <c r="AD14" s="9"/>
      <c r="AE14" s="22">
        <v>159</v>
      </c>
      <c r="AF14" s="22">
        <v>10000</v>
      </c>
      <c r="AG14" s="22">
        <v>2819</v>
      </c>
      <c r="AH14" s="23">
        <v>0</v>
      </c>
      <c r="AI14" s="23">
        <f t="shared" si="14"/>
        <v>5363.1859999999997</v>
      </c>
      <c r="AJ14" s="21">
        <f>AI14/(AL14/6)</f>
        <v>11.996568693240281</v>
      </c>
      <c r="AL14" s="19">
        <v>2682.3599999999997</v>
      </c>
      <c r="AM14" s="6"/>
      <c r="AN14" s="20">
        <v>0</v>
      </c>
      <c r="AO14" s="9"/>
      <c r="AP14" s="22">
        <v>-4755</v>
      </c>
      <c r="AQ14" s="22">
        <v>10000</v>
      </c>
      <c r="AR14" s="22">
        <v>0</v>
      </c>
      <c r="AS14" s="23">
        <f t="shared" si="15"/>
        <v>13243</v>
      </c>
      <c r="AT14" s="23">
        <f t="shared" si="16"/>
        <v>11168.826000000001</v>
      </c>
      <c r="AU14" s="21">
        <f>AT14/(AW14/6)</f>
        <v>19.054010804663069</v>
      </c>
      <c r="AW14">
        <v>3517</v>
      </c>
    </row>
    <row r="15" spans="1:49" ht="28.8" x14ac:dyDescent="0.3">
      <c r="A15" s="24"/>
      <c r="B15" s="18" t="s">
        <v>22</v>
      </c>
      <c r="C15" s="19">
        <v>157.21200000000002</v>
      </c>
      <c r="D15" s="6"/>
      <c r="E15" s="20">
        <v>0</v>
      </c>
      <c r="F15" s="6"/>
      <c r="G15" s="19">
        <v>0</v>
      </c>
      <c r="H15" s="21">
        <f t="shared" si="10"/>
        <v>0</v>
      </c>
      <c r="I15" s="22">
        <v>0</v>
      </c>
      <c r="J15" s="22">
        <v>0</v>
      </c>
      <c r="K15" s="22">
        <v>0</v>
      </c>
      <c r="L15" s="23">
        <v>0</v>
      </c>
      <c r="M15" s="23">
        <f t="shared" si="11"/>
        <v>-157.21200000000002</v>
      </c>
      <c r="N15" s="21">
        <f>M15/(P15/6)</f>
        <v>-4.8648347567768289</v>
      </c>
      <c r="P15" s="19">
        <v>193.89600000000002</v>
      </c>
      <c r="Q15" s="16"/>
      <c r="R15" s="20">
        <v>0</v>
      </c>
      <c r="S15" s="6"/>
      <c r="T15" s="22">
        <v>0</v>
      </c>
      <c r="U15" s="22">
        <v>0</v>
      </c>
      <c r="V15" s="22">
        <v>0</v>
      </c>
      <c r="W15" s="23">
        <v>0</v>
      </c>
      <c r="X15" s="23">
        <f t="shared" si="12"/>
        <v>-351.10800000000006</v>
      </c>
      <c r="Y15" s="21">
        <f t="shared" si="13"/>
        <v>-15.359055118110239</v>
      </c>
      <c r="AA15" s="19">
        <v>137.16</v>
      </c>
      <c r="AB15" s="6">
        <v>0</v>
      </c>
      <c r="AC15" s="20">
        <v>0</v>
      </c>
      <c r="AD15" s="9"/>
      <c r="AE15" s="22">
        <v>0</v>
      </c>
      <c r="AF15" s="22">
        <v>0</v>
      </c>
      <c r="AG15" s="22">
        <v>0</v>
      </c>
      <c r="AH15" s="23">
        <v>0</v>
      </c>
      <c r="AI15" s="23">
        <f t="shared" si="14"/>
        <v>-488.26800000000003</v>
      </c>
      <c r="AJ15" s="21">
        <f>AI15/(AL15/6)</f>
        <v>-20.130612244897961</v>
      </c>
      <c r="AL15" s="19">
        <v>145.53</v>
      </c>
      <c r="AM15" s="6"/>
      <c r="AN15" s="20">
        <v>0</v>
      </c>
      <c r="AO15" s="9"/>
      <c r="AP15" s="22">
        <v>0</v>
      </c>
      <c r="AQ15" s="22">
        <v>0</v>
      </c>
      <c r="AR15" s="22">
        <v>0</v>
      </c>
      <c r="AS15" s="23">
        <f t="shared" si="15"/>
        <v>0</v>
      </c>
      <c r="AT15" s="23">
        <f t="shared" si="16"/>
        <v>-633.798</v>
      </c>
      <c r="AU15" s="21" t="e">
        <f>AT15/(AW15/6)</f>
        <v>#DIV/0!</v>
      </c>
    </row>
    <row r="16" spans="1:49" ht="28.8" x14ac:dyDescent="0.3">
      <c r="A16" s="24"/>
      <c r="B16" s="18" t="s">
        <v>23</v>
      </c>
      <c r="C16" s="19">
        <v>2867.5079999999998</v>
      </c>
      <c r="D16" s="6"/>
      <c r="E16" s="20">
        <v>0</v>
      </c>
      <c r="F16" s="6"/>
      <c r="G16" s="19">
        <v>3187.4760000000001</v>
      </c>
      <c r="H16" s="21">
        <f t="shared" si="10"/>
        <v>6.6695039734849919</v>
      </c>
      <c r="I16" s="22">
        <v>5618</v>
      </c>
      <c r="J16" s="22">
        <v>0</v>
      </c>
      <c r="K16" s="22">
        <v>0</v>
      </c>
      <c r="L16" s="23">
        <v>0</v>
      </c>
      <c r="M16" s="23">
        <f t="shared" si="11"/>
        <v>5937.9680000000008</v>
      </c>
      <c r="N16" s="21">
        <f>M16/(P16/6)</f>
        <v>11.999603917978689</v>
      </c>
      <c r="P16" s="19">
        <v>2969.0820000000003</v>
      </c>
      <c r="Q16" s="16"/>
      <c r="R16" s="20">
        <v>0</v>
      </c>
      <c r="S16" s="6"/>
      <c r="T16" s="22">
        <v>1728</v>
      </c>
      <c r="U16" s="22">
        <v>0</v>
      </c>
      <c r="V16" s="22">
        <v>0</v>
      </c>
      <c r="W16" s="23">
        <v>0</v>
      </c>
      <c r="X16" s="23">
        <f t="shared" si="12"/>
        <v>4696.8860000000004</v>
      </c>
      <c r="Y16" s="21">
        <f t="shared" si="13"/>
        <v>11.999729188382695</v>
      </c>
      <c r="AA16" s="19">
        <v>2348.4960000000001</v>
      </c>
      <c r="AB16" s="6">
        <v>0</v>
      </c>
      <c r="AC16" s="20">
        <v>0</v>
      </c>
      <c r="AD16" s="9"/>
      <c r="AE16" s="22">
        <v>2787</v>
      </c>
      <c r="AF16" s="22">
        <v>0</v>
      </c>
      <c r="AG16" s="22">
        <v>0</v>
      </c>
      <c r="AH16" s="23">
        <v>0</v>
      </c>
      <c r="AI16" s="23">
        <f t="shared" si="14"/>
        <v>5135.3900000000003</v>
      </c>
      <c r="AJ16" s="21">
        <f t="shared" ref="AJ16:AJ21" si="17">AI16/(AL16/6)</f>
        <v>11.999640154967031</v>
      </c>
      <c r="AL16" s="19">
        <v>2567.7719999999999</v>
      </c>
      <c r="AM16" s="6"/>
      <c r="AN16" s="20">
        <v>0</v>
      </c>
      <c r="AO16" s="9"/>
      <c r="AP16" s="22">
        <v>3741</v>
      </c>
      <c r="AQ16" s="22">
        <v>0</v>
      </c>
      <c r="AR16" s="22">
        <v>0</v>
      </c>
      <c r="AS16" s="23">
        <f t="shared" si="15"/>
        <v>0</v>
      </c>
      <c r="AT16" s="23">
        <f t="shared" si="16"/>
        <v>6308.6180000000004</v>
      </c>
      <c r="AU16" s="21">
        <f>AT16/(AW16/6)</f>
        <v>12.001175649968296</v>
      </c>
      <c r="AW16">
        <v>3154</v>
      </c>
    </row>
    <row r="17" spans="1:49" x14ac:dyDescent="0.3">
      <c r="A17" s="24"/>
      <c r="B17" s="25" t="s">
        <v>24</v>
      </c>
      <c r="C17" s="26">
        <f>(SUM(C12:C16))</f>
        <v>14841.936</v>
      </c>
      <c r="D17" s="6"/>
      <c r="E17" s="26">
        <f>(SUM(E12:E16))</f>
        <v>5400</v>
      </c>
      <c r="F17" s="6"/>
      <c r="G17" s="26">
        <f>(SUM(G12:G16))</f>
        <v>27601.907999999999</v>
      </c>
      <c r="H17" s="27">
        <f t="shared" si="10"/>
        <v>11.158345380279231</v>
      </c>
      <c r="I17" s="26">
        <f>(SUM(I12:I16))</f>
        <v>-1</v>
      </c>
      <c r="J17" s="26">
        <f>(SUM(J12:J16))</f>
        <v>15326</v>
      </c>
      <c r="K17" s="26">
        <f>(SUM(K12:K16))</f>
        <v>7753</v>
      </c>
      <c r="L17" s="26">
        <f>(SUM(L12:L16))</f>
        <v>4500</v>
      </c>
      <c r="M17" s="26">
        <f t="shared" si="11"/>
        <v>30411.971999999994</v>
      </c>
      <c r="N17" s="27">
        <f t="shared" ref="N17:N22" si="18">M17/(P17/6)</f>
        <v>11.788353660238338</v>
      </c>
      <c r="P17" s="26">
        <f>(SUM(P12:P16))</f>
        <v>15478.992000000002</v>
      </c>
      <c r="Q17" s="16"/>
      <c r="R17" s="26">
        <f>(SUM(R12:R16))</f>
        <v>14400</v>
      </c>
      <c r="S17" s="6"/>
      <c r="T17" s="26">
        <f>(SUM(T12:T16))</f>
        <v>0</v>
      </c>
      <c r="U17" s="26">
        <f>(SUM(U12:U16))</f>
        <v>12830</v>
      </c>
      <c r="V17" s="26">
        <f>(SUM(V12:V16))</f>
        <v>0</v>
      </c>
      <c r="W17" s="26">
        <f>(SUM(W12:W16))</f>
        <v>0</v>
      </c>
      <c r="X17" s="26">
        <f t="shared" si="12"/>
        <v>29332.979999999992</v>
      </c>
      <c r="Y17" s="27">
        <f t="shared" si="13"/>
        <v>15.041743906097363</v>
      </c>
      <c r="AA17" s="26">
        <f>(SUM(AA12:AA16))</f>
        <v>11700.629999999997</v>
      </c>
      <c r="AB17" s="6">
        <v>0</v>
      </c>
      <c r="AC17" s="26">
        <f>(SUM(AC12:AC16))</f>
        <v>0</v>
      </c>
      <c r="AD17" s="9"/>
      <c r="AE17" s="26">
        <f>(SUM(AE12:AE16))</f>
        <v>0</v>
      </c>
      <c r="AF17" s="26">
        <f>(SUM(AF12:AF16))</f>
        <v>12762</v>
      </c>
      <c r="AG17" s="26">
        <f>(SUM(AG12:AG16))</f>
        <v>7686</v>
      </c>
      <c r="AH17" s="26">
        <f>(SUM(AH12:AH16))</f>
        <v>0</v>
      </c>
      <c r="AI17" s="26">
        <f t="shared" si="14"/>
        <v>25318.349999999995</v>
      </c>
      <c r="AJ17" s="27">
        <f t="shared" si="17"/>
        <v>11.641166620227706</v>
      </c>
      <c r="AL17" s="26">
        <f>(SUM(AL12:AL16))</f>
        <v>13049.387999999999</v>
      </c>
      <c r="AM17" s="6"/>
      <c r="AN17" s="26">
        <f>(SUM(AN12:AN16))</f>
        <v>12600</v>
      </c>
      <c r="AO17" s="9"/>
      <c r="AP17" s="26">
        <f>(SUM(AP12:AP16))</f>
        <v>1</v>
      </c>
      <c r="AQ17" s="26">
        <f>(SUM(AQ12:AQ16))</f>
        <v>12770</v>
      </c>
      <c r="AR17" s="26">
        <f>(SUM(AR12:AR16))</f>
        <v>0</v>
      </c>
      <c r="AS17" s="26">
        <f t="shared" si="15"/>
        <v>15326</v>
      </c>
      <c r="AT17" s="26">
        <f t="shared" si="16"/>
        <v>40195.962</v>
      </c>
      <c r="AU17" s="27">
        <f t="shared" ref="AU17" si="19">AT17/(AL17/6)</f>
        <v>18.481768800192011</v>
      </c>
    </row>
    <row r="18" spans="1:49" x14ac:dyDescent="0.3">
      <c r="A18" s="28"/>
      <c r="D18" s="6"/>
      <c r="F18" s="6"/>
      <c r="G18" s="30"/>
      <c r="H18" s="30"/>
      <c r="I18" s="30"/>
      <c r="J18" s="30"/>
      <c r="K18" s="30"/>
      <c r="L18" s="30"/>
      <c r="S18" s="6"/>
    </row>
    <row r="19" spans="1:49" ht="43.2" x14ac:dyDescent="0.3">
      <c r="A19" s="29"/>
      <c r="B19" s="12" t="s">
        <v>7</v>
      </c>
      <c r="C19" s="13" t="s">
        <v>4</v>
      </c>
      <c r="D19" s="6"/>
      <c r="E19" s="13" t="s">
        <v>8</v>
      </c>
      <c r="F19" s="6"/>
      <c r="G19" s="14" t="s">
        <v>9</v>
      </c>
      <c r="H19" s="15" t="s">
        <v>10</v>
      </c>
      <c r="I19" s="14" t="s">
        <v>11</v>
      </c>
      <c r="J19" s="14" t="s">
        <v>12</v>
      </c>
      <c r="K19" s="14" t="s">
        <v>13</v>
      </c>
      <c r="L19" s="14" t="s">
        <v>14</v>
      </c>
      <c r="M19" s="14" t="s">
        <v>15</v>
      </c>
      <c r="N19" s="15" t="s">
        <v>16</v>
      </c>
      <c r="P19" s="13" t="s">
        <v>4</v>
      </c>
      <c r="Q19" s="16"/>
      <c r="R19" s="13" t="s">
        <v>8</v>
      </c>
      <c r="S19" s="6"/>
      <c r="T19" s="14" t="s">
        <v>11</v>
      </c>
      <c r="U19" s="14" t="s">
        <v>12</v>
      </c>
      <c r="V19" s="14" t="s">
        <v>13</v>
      </c>
      <c r="W19" s="14" t="s">
        <v>14</v>
      </c>
      <c r="X19" s="14" t="s">
        <v>15</v>
      </c>
      <c r="Y19" s="15" t="s">
        <v>16</v>
      </c>
      <c r="AA19" s="14" t="s">
        <v>4</v>
      </c>
      <c r="AB19" s="6">
        <v>0</v>
      </c>
      <c r="AC19" s="13" t="s">
        <v>17</v>
      </c>
      <c r="AD19" s="9"/>
      <c r="AE19" s="14" t="s">
        <v>11</v>
      </c>
      <c r="AF19" s="14" t="s">
        <v>12</v>
      </c>
      <c r="AG19" s="14" t="s">
        <v>13</v>
      </c>
      <c r="AH19" s="14" t="s">
        <v>14</v>
      </c>
      <c r="AI19" s="14" t="s">
        <v>15</v>
      </c>
      <c r="AJ19" s="15" t="s">
        <v>16</v>
      </c>
      <c r="AL19" s="14" t="s">
        <v>4</v>
      </c>
      <c r="AM19" s="6"/>
      <c r="AN19" s="13" t="s">
        <v>17</v>
      </c>
      <c r="AO19" s="9"/>
      <c r="AP19" s="14" t="s">
        <v>11</v>
      </c>
      <c r="AQ19" s="14" t="s">
        <v>12</v>
      </c>
      <c r="AR19" s="14" t="s">
        <v>13</v>
      </c>
      <c r="AS19" s="14" t="s">
        <v>14</v>
      </c>
      <c r="AT19" s="14" t="s">
        <v>15</v>
      </c>
      <c r="AU19" s="15" t="s">
        <v>16</v>
      </c>
    </row>
    <row r="20" spans="1:49" x14ac:dyDescent="0.3">
      <c r="A20" s="17" t="s">
        <v>26</v>
      </c>
      <c r="B20" s="18" t="s">
        <v>19</v>
      </c>
      <c r="C20" s="19">
        <v>6074.8038000000015</v>
      </c>
      <c r="D20" s="6"/>
      <c r="E20" s="20">
        <v>0</v>
      </c>
      <c r="F20" s="6"/>
      <c r="G20" s="19">
        <v>1985.6159999999998</v>
      </c>
      <c r="H20" s="21">
        <f t="shared" ref="H20:H25" si="20">G20/(C20/6)</f>
        <v>1.961165560606253</v>
      </c>
      <c r="I20" s="22">
        <v>0</v>
      </c>
      <c r="J20" s="22">
        <v>4480</v>
      </c>
      <c r="K20" s="22">
        <v>16662</v>
      </c>
      <c r="L20" s="23">
        <v>0</v>
      </c>
      <c r="M20" s="23">
        <f t="shared" ref="M20:M25" si="21">G20+E20-C20+K20+L20+I20+IF(J20&lt;0,J20,0)</f>
        <v>12572.812199999998</v>
      </c>
      <c r="N20" s="21">
        <f t="shared" ref="N20:N25" si="22">M20/(P20/6)</f>
        <v>11.99999255536944</v>
      </c>
      <c r="P20" s="19">
        <v>6286.41</v>
      </c>
      <c r="Q20" s="16"/>
      <c r="R20" s="20">
        <v>1494</v>
      </c>
      <c r="S20" s="6"/>
      <c r="T20" s="22">
        <v>2230</v>
      </c>
      <c r="U20" s="22">
        <v>0</v>
      </c>
      <c r="V20" s="22">
        <v>0</v>
      </c>
      <c r="W20" s="23">
        <v>0</v>
      </c>
      <c r="X20" s="23">
        <f t="shared" ref="X20:X25" si="23">M20-P20+R20+T20+W20+V20+IF(U20&lt;0,U20,0)</f>
        <v>10010.402199999999</v>
      </c>
      <c r="Y20" s="21">
        <f t="shared" ref="Y20:Y25" si="24">X20/(AA20/6)</f>
        <v>14.105688365867406</v>
      </c>
      <c r="AA20" s="19">
        <v>4258.0278000000008</v>
      </c>
      <c r="AB20" s="6">
        <v>0</v>
      </c>
      <c r="AC20" s="20">
        <v>0</v>
      </c>
      <c r="AD20" s="9"/>
      <c r="AE20" s="22">
        <v>4258</v>
      </c>
      <c r="AF20" s="22">
        <v>0</v>
      </c>
      <c r="AG20" s="22">
        <v>0</v>
      </c>
      <c r="AH20" s="23">
        <v>0</v>
      </c>
      <c r="AI20" s="23">
        <f t="shared" ref="AI20:AI25" si="25">X20-AA20+AC20+AE20+AH20+AG20+IF(AF20&lt;0,AF20,0)</f>
        <v>10010.374399999997</v>
      </c>
      <c r="AJ20" s="21">
        <f t="shared" ref="AJ20:AJ25" si="26">AI20/(AL20/6)</f>
        <v>11.540265026511641</v>
      </c>
      <c r="AL20" s="19">
        <v>5204.5811999999996</v>
      </c>
      <c r="AM20" s="6"/>
      <c r="AN20" s="20">
        <v>0</v>
      </c>
      <c r="AO20" s="9"/>
      <c r="AP20" s="22">
        <v>3680</v>
      </c>
      <c r="AQ20" s="22">
        <v>0</v>
      </c>
      <c r="AR20" s="22">
        <v>0</v>
      </c>
      <c r="AS20" s="23">
        <f t="shared" ref="AS20:AS25" si="27">IF(J20&gt;0,J20,0)</f>
        <v>4480</v>
      </c>
      <c r="AT20" s="23">
        <f t="shared" ref="AT20:AT25" si="28">AI20-AL20+AN20+AP20+AS20+AR20+IF(AQ20&lt;0,AQ20,0)</f>
        <v>12965.793199999996</v>
      </c>
      <c r="AU20" s="21">
        <f>AT20/(AW20/6)</f>
        <v>11.642436276563899</v>
      </c>
      <c r="AW20">
        <v>6682</v>
      </c>
    </row>
    <row r="21" spans="1:49" x14ac:dyDescent="0.3">
      <c r="A21" s="24"/>
      <c r="B21" s="18" t="s">
        <v>20</v>
      </c>
      <c r="C21" s="19">
        <v>1971.7542000000003</v>
      </c>
      <c r="D21" s="6"/>
      <c r="E21" s="20">
        <v>16200</v>
      </c>
      <c r="F21" s="6"/>
      <c r="G21" s="19">
        <v>302.00399999999996</v>
      </c>
      <c r="H21" s="21">
        <f t="shared" si="20"/>
        <v>0.91899081538662353</v>
      </c>
      <c r="I21" s="22">
        <v>-9999</v>
      </c>
      <c r="J21" s="22">
        <v>0</v>
      </c>
      <c r="K21" s="22">
        <v>0</v>
      </c>
      <c r="L21" s="23">
        <v>0</v>
      </c>
      <c r="M21" s="23">
        <f t="shared" si="21"/>
        <v>4531.2498000000014</v>
      </c>
      <c r="N21" s="21">
        <f t="shared" si="22"/>
        <v>11.999080059454537</v>
      </c>
      <c r="P21" s="19">
        <v>2265.7986000000001</v>
      </c>
      <c r="Q21" s="16"/>
      <c r="R21" s="20">
        <v>538</v>
      </c>
      <c r="S21" s="6"/>
      <c r="T21" s="22">
        <v>1150</v>
      </c>
      <c r="U21" s="22">
        <v>0</v>
      </c>
      <c r="V21" s="22">
        <v>0</v>
      </c>
      <c r="W21" s="23">
        <v>0</v>
      </c>
      <c r="X21" s="23">
        <f t="shared" si="23"/>
        <v>3953.4512000000013</v>
      </c>
      <c r="Y21" s="21">
        <f t="shared" si="24"/>
        <v>13.888849190916687</v>
      </c>
      <c r="AA21" s="19">
        <v>1707.8958</v>
      </c>
      <c r="AB21" s="6">
        <v>0</v>
      </c>
      <c r="AC21" s="20">
        <v>12960</v>
      </c>
      <c r="AD21" s="9"/>
      <c r="AE21" s="22">
        <v>-3952</v>
      </c>
      <c r="AF21" s="22">
        <v>0</v>
      </c>
      <c r="AG21" s="22">
        <v>0</v>
      </c>
      <c r="AH21" s="23">
        <v>0</v>
      </c>
      <c r="AI21" s="23">
        <f t="shared" si="25"/>
        <v>11253.555400000001</v>
      </c>
      <c r="AJ21" s="21">
        <f t="shared" si="26"/>
        <v>36.616969222504544</v>
      </c>
      <c r="AL21" s="19">
        <v>1843.9902000000002</v>
      </c>
      <c r="AM21" s="6"/>
      <c r="AN21" s="20">
        <v>0</v>
      </c>
      <c r="AO21" s="9"/>
      <c r="AP21" s="22">
        <v>-5072</v>
      </c>
      <c r="AQ21" s="22">
        <v>0</v>
      </c>
      <c r="AR21" s="22">
        <v>0</v>
      </c>
      <c r="AS21" s="23">
        <f t="shared" si="27"/>
        <v>0</v>
      </c>
      <c r="AT21" s="23">
        <f t="shared" si="28"/>
        <v>4337.5652000000009</v>
      </c>
      <c r="AU21" s="21">
        <f>AT21/(AW21/6)</f>
        <v>11.998797233748274</v>
      </c>
      <c r="AW21">
        <v>2169</v>
      </c>
    </row>
    <row r="22" spans="1:49" x14ac:dyDescent="0.3">
      <c r="A22" s="24"/>
      <c r="B22" s="18" t="s">
        <v>21</v>
      </c>
      <c r="C22" s="19">
        <v>3230.3466000000003</v>
      </c>
      <c r="D22" s="6"/>
      <c r="E22" s="20">
        <v>0</v>
      </c>
      <c r="F22" s="6"/>
      <c r="G22" s="19">
        <v>4383</v>
      </c>
      <c r="H22" s="21">
        <f t="shared" si="20"/>
        <v>8.1409220917656313</v>
      </c>
      <c r="I22" s="22">
        <v>5883</v>
      </c>
      <c r="J22" s="22">
        <v>0</v>
      </c>
      <c r="K22" s="22">
        <v>0</v>
      </c>
      <c r="L22" s="23">
        <v>0</v>
      </c>
      <c r="M22" s="23">
        <f t="shared" si="21"/>
        <v>7035.6533999999992</v>
      </c>
      <c r="N22" s="21">
        <f t="shared" si="22"/>
        <v>12.00075631004618</v>
      </c>
      <c r="P22" s="19">
        <v>3517.6050000000005</v>
      </c>
      <c r="Q22" s="16"/>
      <c r="R22" s="20">
        <v>836</v>
      </c>
      <c r="S22" s="6"/>
      <c r="T22" s="22">
        <v>1661</v>
      </c>
      <c r="U22" s="22">
        <v>0</v>
      </c>
      <c r="V22" s="22">
        <v>0</v>
      </c>
      <c r="W22" s="23">
        <v>0</v>
      </c>
      <c r="X22" s="23">
        <f t="shared" si="23"/>
        <v>6015.0483999999988</v>
      </c>
      <c r="Y22" s="21">
        <f t="shared" si="24"/>
        <v>13.939356523693816</v>
      </c>
      <c r="AA22" s="19">
        <v>2589.0930000000003</v>
      </c>
      <c r="AB22" s="6">
        <v>0</v>
      </c>
      <c r="AC22" s="20">
        <v>0</v>
      </c>
      <c r="AD22" s="9"/>
      <c r="AE22" s="22">
        <v>2290</v>
      </c>
      <c r="AF22" s="22">
        <v>0</v>
      </c>
      <c r="AG22" s="22">
        <v>0</v>
      </c>
      <c r="AH22" s="23">
        <v>0</v>
      </c>
      <c r="AI22" s="23">
        <f t="shared" si="25"/>
        <v>5715.9553999999989</v>
      </c>
      <c r="AJ22" s="21">
        <f t="shared" si="26"/>
        <v>12.003026819078576</v>
      </c>
      <c r="AL22" s="19">
        <v>2857.2570000000001</v>
      </c>
      <c r="AM22" s="6"/>
      <c r="AN22" s="20">
        <v>0</v>
      </c>
      <c r="AO22" s="9"/>
      <c r="AP22" s="22">
        <v>4250</v>
      </c>
      <c r="AQ22" s="22">
        <v>0</v>
      </c>
      <c r="AR22" s="22">
        <v>0</v>
      </c>
      <c r="AS22" s="23">
        <f t="shared" si="27"/>
        <v>0</v>
      </c>
      <c r="AT22" s="23">
        <f t="shared" si="28"/>
        <v>7108.6983999999993</v>
      </c>
      <c r="AU22" s="21">
        <f>AT22/(AW22/6)</f>
        <v>12.004556825218126</v>
      </c>
      <c r="AW22">
        <v>3553</v>
      </c>
    </row>
    <row r="23" spans="1:49" ht="28.8" x14ac:dyDescent="0.3">
      <c r="A23" s="24"/>
      <c r="B23" s="18" t="s">
        <v>22</v>
      </c>
      <c r="C23" s="19">
        <v>78.858000000000004</v>
      </c>
      <c r="D23" s="6"/>
      <c r="E23" s="20">
        <v>0</v>
      </c>
      <c r="F23" s="6"/>
      <c r="G23" s="19">
        <v>0</v>
      </c>
      <c r="H23" s="21">
        <f t="shared" si="20"/>
        <v>0</v>
      </c>
      <c r="I23" s="22">
        <v>0</v>
      </c>
      <c r="J23" s="22">
        <v>0</v>
      </c>
      <c r="K23" s="22">
        <v>0</v>
      </c>
      <c r="L23" s="23">
        <v>0</v>
      </c>
      <c r="M23" s="23">
        <f t="shared" si="21"/>
        <v>-78.858000000000004</v>
      </c>
      <c r="N23" s="21">
        <f t="shared" si="22"/>
        <v>-5.0944822373393803</v>
      </c>
      <c r="P23" s="19">
        <v>92.874600000000001</v>
      </c>
      <c r="Q23" s="16"/>
      <c r="R23" s="20">
        <v>0</v>
      </c>
      <c r="S23" s="6"/>
      <c r="T23" s="22">
        <v>0</v>
      </c>
      <c r="U23" s="22">
        <v>0</v>
      </c>
      <c r="V23" s="22">
        <v>0</v>
      </c>
      <c r="W23" s="23">
        <v>0</v>
      </c>
      <c r="X23" s="23">
        <f t="shared" si="23"/>
        <v>-171.73259999999999</v>
      </c>
      <c r="Y23" s="21">
        <f t="shared" si="24"/>
        <v>-16.375604313871328</v>
      </c>
      <c r="AA23" s="19">
        <v>62.922600000000003</v>
      </c>
      <c r="AB23" s="6">
        <v>0</v>
      </c>
      <c r="AC23" s="20">
        <v>0</v>
      </c>
      <c r="AD23" s="9"/>
      <c r="AE23" s="22">
        <v>0</v>
      </c>
      <c r="AF23" s="22">
        <v>0</v>
      </c>
      <c r="AG23" s="22">
        <v>0</v>
      </c>
      <c r="AH23" s="23">
        <v>0</v>
      </c>
      <c r="AI23" s="23">
        <f t="shared" si="25"/>
        <v>-234.65519999999998</v>
      </c>
      <c r="AJ23" s="21">
        <f t="shared" si="26"/>
        <v>-21.36647727272727</v>
      </c>
      <c r="AL23" s="19">
        <v>65.894400000000005</v>
      </c>
      <c r="AM23" s="6"/>
      <c r="AN23" s="20">
        <v>0</v>
      </c>
      <c r="AO23" s="9"/>
      <c r="AP23" s="22">
        <v>0</v>
      </c>
      <c r="AQ23" s="22">
        <v>0</v>
      </c>
      <c r="AR23" s="22">
        <v>0</v>
      </c>
      <c r="AS23" s="23">
        <f t="shared" si="27"/>
        <v>0</v>
      </c>
      <c r="AT23" s="23">
        <f t="shared" si="28"/>
        <v>-300.5496</v>
      </c>
      <c r="AU23" s="21" t="e">
        <f>AT23/(AW23/6)</f>
        <v>#DIV/0!</v>
      </c>
    </row>
    <row r="24" spans="1:49" ht="28.8" x14ac:dyDescent="0.3">
      <c r="A24" s="24"/>
      <c r="B24" s="18" t="s">
        <v>23</v>
      </c>
      <c r="C24" s="19">
        <v>2227.5162</v>
      </c>
      <c r="D24" s="6"/>
      <c r="E24" s="20">
        <v>0</v>
      </c>
      <c r="F24" s="6"/>
      <c r="G24" s="19">
        <v>964.81799999999998</v>
      </c>
      <c r="H24" s="21">
        <f t="shared" si="20"/>
        <v>2.5988174631457226</v>
      </c>
      <c r="I24" s="22">
        <v>4116</v>
      </c>
      <c r="J24" s="22">
        <v>0</v>
      </c>
      <c r="K24" s="22">
        <v>2073</v>
      </c>
      <c r="L24" s="23">
        <v>0</v>
      </c>
      <c r="M24" s="23">
        <f t="shared" si="21"/>
        <v>4926.3018000000002</v>
      </c>
      <c r="N24" s="21">
        <f t="shared" si="22"/>
        <v>12.00032593285491</v>
      </c>
      <c r="P24" s="19">
        <v>2463.0839999999998</v>
      </c>
      <c r="Q24" s="16"/>
      <c r="R24" s="20">
        <v>9585</v>
      </c>
      <c r="S24" s="6"/>
      <c r="T24" s="22">
        <v>-5040</v>
      </c>
      <c r="U24" s="22">
        <v>0</v>
      </c>
      <c r="V24" s="22">
        <v>0</v>
      </c>
      <c r="W24" s="23">
        <v>0</v>
      </c>
      <c r="X24" s="23">
        <f t="shared" si="23"/>
        <v>7008.2178000000004</v>
      </c>
      <c r="Y24" s="21">
        <f>X24/(AA24/6)</f>
        <v>23.496370547168805</v>
      </c>
      <c r="AA24" s="19">
        <v>1789.6086</v>
      </c>
      <c r="AB24" s="6">
        <v>0</v>
      </c>
      <c r="AC24" s="20">
        <v>7560</v>
      </c>
      <c r="AD24" s="9"/>
      <c r="AE24" s="22">
        <v>-2995</v>
      </c>
      <c r="AF24" s="22">
        <v>0</v>
      </c>
      <c r="AG24" s="22">
        <v>0</v>
      </c>
      <c r="AH24" s="23">
        <v>0</v>
      </c>
      <c r="AI24" s="23">
        <f t="shared" si="25"/>
        <v>9783.6092000000008</v>
      </c>
      <c r="AJ24" s="21">
        <f t="shared" si="26"/>
        <v>28.975233241582664</v>
      </c>
      <c r="AL24" s="19">
        <v>2025.9251999999999</v>
      </c>
      <c r="AM24" s="6"/>
      <c r="AN24" s="20">
        <v>0</v>
      </c>
      <c r="AO24" s="9"/>
      <c r="AP24" s="22">
        <v>-2858</v>
      </c>
      <c r="AQ24" s="22">
        <v>0</v>
      </c>
      <c r="AR24" s="22">
        <v>0</v>
      </c>
      <c r="AS24" s="23">
        <f t="shared" si="27"/>
        <v>0</v>
      </c>
      <c r="AT24" s="23">
        <f t="shared" si="28"/>
        <v>4899.6840000000011</v>
      </c>
      <c r="AU24" s="21">
        <f>AT24/(AW24/6)</f>
        <v>11.999226122448983</v>
      </c>
      <c r="AW24">
        <v>2450</v>
      </c>
    </row>
    <row r="25" spans="1:49" x14ac:dyDescent="0.3">
      <c r="A25" s="24"/>
      <c r="B25" s="25" t="s">
        <v>24</v>
      </c>
      <c r="C25" s="26">
        <f>(SUM(C20:C24))</f>
        <v>13583.278800000002</v>
      </c>
      <c r="D25" s="6"/>
      <c r="E25" s="26">
        <f>(SUM(E20:E24))</f>
        <v>16200</v>
      </c>
      <c r="F25" s="6"/>
      <c r="G25" s="26">
        <f>(SUM(G20:G24))</f>
        <v>7635.4380000000001</v>
      </c>
      <c r="H25" s="27">
        <f t="shared" si="20"/>
        <v>3.3727223503650676</v>
      </c>
      <c r="I25" s="26">
        <f>(SUM(I20:I24))</f>
        <v>0</v>
      </c>
      <c r="J25" s="26">
        <f>(SUM(J20:J24))</f>
        <v>4480</v>
      </c>
      <c r="K25" s="26">
        <f>(SUM(K20:K24))</f>
        <v>18735</v>
      </c>
      <c r="L25" s="26">
        <f>(SUM(L20:L24))</f>
        <v>0</v>
      </c>
      <c r="M25" s="26">
        <f t="shared" si="21"/>
        <v>28987.159200000002</v>
      </c>
      <c r="N25" s="27">
        <f t="shared" si="22"/>
        <v>11.891540003610888</v>
      </c>
      <c r="P25" s="26">
        <f>(SUM(P20:P24))</f>
        <v>14625.772199999999</v>
      </c>
      <c r="Q25" s="16"/>
      <c r="R25" s="26">
        <f>(SUM(R20:R24))</f>
        <v>12453</v>
      </c>
      <c r="S25" s="6"/>
      <c r="T25" s="26">
        <f>(SUM(T20:T24))</f>
        <v>1</v>
      </c>
      <c r="U25" s="26">
        <f>(SUM(U20:U24))</f>
        <v>0</v>
      </c>
      <c r="V25" s="26">
        <f>(SUM(V20:V24))</f>
        <v>0</v>
      </c>
      <c r="W25" s="26">
        <f>(SUM(W20:W24))</f>
        <v>0</v>
      </c>
      <c r="X25" s="26">
        <f t="shared" si="23"/>
        <v>26815.387000000002</v>
      </c>
      <c r="Y25" s="27">
        <f t="shared" si="24"/>
        <v>15.459196065378629</v>
      </c>
      <c r="AA25" s="26">
        <f>(SUM(AA20:AA24))</f>
        <v>10407.5478</v>
      </c>
      <c r="AB25" s="6">
        <v>0</v>
      </c>
      <c r="AC25" s="26">
        <f>(SUM(AC20:AC24))</f>
        <v>20520</v>
      </c>
      <c r="AD25" s="9"/>
      <c r="AE25" s="26">
        <f>(SUM(AE20:AE24))</f>
        <v>-399</v>
      </c>
      <c r="AF25" s="26">
        <f>(SUM(AF20:AF24))</f>
        <v>0</v>
      </c>
      <c r="AG25" s="26">
        <f>(SUM(AG20:AG24))</f>
        <v>0</v>
      </c>
      <c r="AH25" s="26">
        <f>(SUM(AH20:AH24))</f>
        <v>0</v>
      </c>
      <c r="AI25" s="26">
        <f t="shared" si="25"/>
        <v>36528.839200000002</v>
      </c>
      <c r="AJ25" s="27">
        <f t="shared" si="26"/>
        <v>18.268000128025093</v>
      </c>
      <c r="AL25" s="26">
        <f>(SUM(AL20:AL24))</f>
        <v>11997.647999999999</v>
      </c>
      <c r="AM25" s="6"/>
      <c r="AN25" s="26">
        <f>(SUM(AN20:AN24))</f>
        <v>0</v>
      </c>
      <c r="AO25" s="9"/>
      <c r="AP25" s="26">
        <f>(SUM(AP20:AP24))</f>
        <v>0</v>
      </c>
      <c r="AQ25" s="26">
        <f>(SUM(AQ20:AQ24))</f>
        <v>0</v>
      </c>
      <c r="AR25" s="26">
        <f>(SUM(AR20:AR24))</f>
        <v>0</v>
      </c>
      <c r="AS25" s="26">
        <f t="shared" si="27"/>
        <v>4480</v>
      </c>
      <c r="AT25" s="26">
        <f t="shared" si="28"/>
        <v>29011.191200000001</v>
      </c>
      <c r="AU25" s="27">
        <f t="shared" ref="AU25" si="29">AT25/(AL25/6)</f>
        <v>14.508439254093803</v>
      </c>
    </row>
    <row r="26" spans="1:49" x14ac:dyDescent="0.3">
      <c r="A26" s="28"/>
      <c r="B26" s="31"/>
      <c r="D26" s="6"/>
      <c r="F26" s="6"/>
      <c r="S26" s="6"/>
      <c r="AB26" s="6"/>
      <c r="AD26" s="6"/>
      <c r="AM26" s="6"/>
      <c r="AO26" s="6"/>
    </row>
    <row r="27" spans="1:49" ht="43.2" x14ac:dyDescent="0.3">
      <c r="A27" s="29"/>
      <c r="B27" s="12" t="s">
        <v>7</v>
      </c>
      <c r="C27" s="13" t="s">
        <v>4</v>
      </c>
      <c r="D27" s="6"/>
      <c r="E27" s="13" t="s">
        <v>8</v>
      </c>
      <c r="F27" s="6"/>
      <c r="G27" s="14" t="s">
        <v>9</v>
      </c>
      <c r="H27" s="15" t="s">
        <v>10</v>
      </c>
      <c r="I27" s="14" t="s">
        <v>11</v>
      </c>
      <c r="J27" s="14" t="s">
        <v>12</v>
      </c>
      <c r="K27" s="14" t="s">
        <v>13</v>
      </c>
      <c r="L27" s="14" t="s">
        <v>14</v>
      </c>
      <c r="M27" s="14" t="s">
        <v>15</v>
      </c>
      <c r="N27" s="15" t="s">
        <v>16</v>
      </c>
      <c r="P27" s="13" t="s">
        <v>4</v>
      </c>
      <c r="Q27" s="16"/>
      <c r="R27" s="13" t="s">
        <v>8</v>
      </c>
      <c r="S27" s="6"/>
      <c r="T27" s="14" t="s">
        <v>11</v>
      </c>
      <c r="U27" s="14" t="s">
        <v>12</v>
      </c>
      <c r="V27" s="14" t="s">
        <v>13</v>
      </c>
      <c r="W27" s="14" t="s">
        <v>14</v>
      </c>
      <c r="X27" s="14" t="s">
        <v>15</v>
      </c>
      <c r="Y27" s="15" t="s">
        <v>16</v>
      </c>
      <c r="AA27" s="14" t="s">
        <v>4</v>
      </c>
      <c r="AB27" s="6">
        <v>0</v>
      </c>
      <c r="AC27" s="13" t="s">
        <v>17</v>
      </c>
      <c r="AD27" s="9"/>
      <c r="AE27" s="14" t="s">
        <v>11</v>
      </c>
      <c r="AF27" s="14" t="s">
        <v>12</v>
      </c>
      <c r="AG27" s="14" t="s">
        <v>13</v>
      </c>
      <c r="AH27" s="14" t="s">
        <v>14</v>
      </c>
      <c r="AI27" s="14" t="s">
        <v>15</v>
      </c>
      <c r="AJ27" s="15" t="s">
        <v>16</v>
      </c>
      <c r="AL27" s="14" t="s">
        <v>4</v>
      </c>
      <c r="AM27" s="6"/>
      <c r="AN27" s="13" t="s">
        <v>17</v>
      </c>
      <c r="AO27" s="9"/>
      <c r="AP27" s="14" t="s">
        <v>11</v>
      </c>
      <c r="AQ27" s="14" t="s">
        <v>12</v>
      </c>
      <c r="AR27" s="14" t="s">
        <v>13</v>
      </c>
      <c r="AS27" s="14" t="s">
        <v>14</v>
      </c>
      <c r="AT27" s="14" t="s">
        <v>15</v>
      </c>
      <c r="AU27" s="15" t="s">
        <v>16</v>
      </c>
    </row>
    <row r="28" spans="1:49" x14ac:dyDescent="0.3">
      <c r="A28" s="17" t="s">
        <v>27</v>
      </c>
      <c r="B28" s="18" t="s">
        <v>19</v>
      </c>
      <c r="C28" s="19">
        <v>1854.1979999999999</v>
      </c>
      <c r="D28" s="6"/>
      <c r="E28" s="20">
        <v>0</v>
      </c>
      <c r="F28" s="6"/>
      <c r="G28" s="19">
        <v>3877.2000000000003</v>
      </c>
      <c r="H28" s="21">
        <f t="shared" ref="H28:H33" si="30">G28/(C28/6)</f>
        <v>12.546232926580659</v>
      </c>
      <c r="I28" s="22">
        <v>1878</v>
      </c>
      <c r="J28" s="22">
        <v>0</v>
      </c>
      <c r="K28" s="22">
        <v>0</v>
      </c>
      <c r="L28" s="23">
        <v>0</v>
      </c>
      <c r="M28" s="23">
        <f t="shared" ref="M28:M33" si="31">G28+E28-C28+K28+L28+I28+IF(J28&lt;0,J28,0)</f>
        <v>3901.0020000000004</v>
      </c>
      <c r="N28" s="21">
        <f t="shared" ref="N28:N33" si="32">M28/(P28/6)</f>
        <v>11.999907716727263</v>
      </c>
      <c r="P28" s="19">
        <v>1950.5160000000008</v>
      </c>
      <c r="Q28" s="16"/>
      <c r="R28" s="20">
        <v>463</v>
      </c>
      <c r="S28" s="6"/>
      <c r="T28" s="22">
        <v>899</v>
      </c>
      <c r="U28" s="22">
        <v>0</v>
      </c>
      <c r="V28" s="22">
        <v>0</v>
      </c>
      <c r="W28" s="23">
        <v>0</v>
      </c>
      <c r="X28" s="23">
        <f t="shared" ref="X28:X33" si="33">M28-P28+R28+T28+W28+V28+IF(U28&lt;0,U28,0)</f>
        <v>3312.4859999999999</v>
      </c>
      <c r="Y28" s="21">
        <f>X28/(AA28/6)</f>
        <v>13.951832804740903</v>
      </c>
      <c r="AA28" s="19">
        <v>1424.5380000000002</v>
      </c>
      <c r="AB28" s="6">
        <v>0</v>
      </c>
      <c r="AC28" s="20">
        <v>0</v>
      </c>
      <c r="AD28" s="9"/>
      <c r="AE28" s="22">
        <v>1400</v>
      </c>
      <c r="AF28" s="22">
        <v>0</v>
      </c>
      <c r="AG28" s="22">
        <v>0</v>
      </c>
      <c r="AH28" s="23">
        <v>0</v>
      </c>
      <c r="AI28" s="23">
        <f t="shared" ref="AI28:AI33" si="34">X28-AA28+AC28+AE28+AH28+AG28+IF(AF28&lt;0,AF28,0)</f>
        <v>3287.9479999999994</v>
      </c>
      <c r="AJ28" s="21">
        <f t="shared" ref="AJ28:AJ33" si="35">AI28/(AL28/6)</f>
        <v>12.000116791304889</v>
      </c>
      <c r="AL28" s="19">
        <v>1643.9579999999996</v>
      </c>
      <c r="AM28" s="6"/>
      <c r="AN28" s="20">
        <v>0</v>
      </c>
      <c r="AO28" s="9"/>
      <c r="AP28" s="22">
        <v>2435</v>
      </c>
      <c r="AQ28" s="22">
        <v>0</v>
      </c>
      <c r="AR28" s="22">
        <v>0</v>
      </c>
      <c r="AS28" s="23">
        <f t="shared" ref="AS28:AS33" si="36">IF(J28&gt;0,J28,0)</f>
        <v>0</v>
      </c>
      <c r="AT28" s="23">
        <f t="shared" ref="AT28:AT33" si="37">AI28-AL28+AN28+AP28+AS28+AR28+IF(AQ28&lt;0,AQ28,0)</f>
        <v>4078.99</v>
      </c>
      <c r="AU28" s="21">
        <f>AT28/(AW28/6)</f>
        <v>11.997029411764705</v>
      </c>
      <c r="AW28">
        <v>2040</v>
      </c>
    </row>
    <row r="29" spans="1:49" x14ac:dyDescent="0.3">
      <c r="A29" s="24"/>
      <c r="B29" s="18" t="s">
        <v>20</v>
      </c>
      <c r="C29" s="19">
        <v>1370.8800000000003</v>
      </c>
      <c r="D29" s="6"/>
      <c r="E29" s="20">
        <v>5400</v>
      </c>
      <c r="F29" s="6"/>
      <c r="G29" s="19">
        <v>8016.2780000000002</v>
      </c>
      <c r="H29" s="21">
        <f t="shared" si="30"/>
        <v>35.085250350140051</v>
      </c>
      <c r="I29" s="22">
        <v>-2169</v>
      </c>
      <c r="J29" s="22">
        <v>0</v>
      </c>
      <c r="K29" s="22">
        <v>0</v>
      </c>
      <c r="L29" s="23">
        <v>0</v>
      </c>
      <c r="M29" s="23">
        <f t="shared" si="31"/>
        <v>9876.3979999999992</v>
      </c>
      <c r="N29" s="21">
        <f t="shared" si="32"/>
        <v>36.586975768958624</v>
      </c>
      <c r="P29" s="19">
        <v>1619.6580000000001</v>
      </c>
      <c r="Q29" s="16"/>
      <c r="R29" s="20">
        <v>385</v>
      </c>
      <c r="S29" s="6"/>
      <c r="T29" s="22">
        <v>-1831</v>
      </c>
      <c r="U29" s="22">
        <v>0</v>
      </c>
      <c r="V29" s="22">
        <v>0</v>
      </c>
      <c r="W29" s="23">
        <v>0</v>
      </c>
      <c r="X29" s="23">
        <f t="shared" si="33"/>
        <v>6810.74</v>
      </c>
      <c r="Y29" s="21">
        <f>X29/(AA29/6)</f>
        <v>32.239578895547531</v>
      </c>
      <c r="AA29" s="19">
        <v>1267.5240000000003</v>
      </c>
      <c r="AB29" s="6">
        <v>0</v>
      </c>
      <c r="AC29" s="20">
        <v>10800</v>
      </c>
      <c r="AD29" s="9"/>
      <c r="AE29" s="22">
        <v>-3757</v>
      </c>
      <c r="AF29" s="22">
        <v>0</v>
      </c>
      <c r="AG29" s="22">
        <v>0</v>
      </c>
      <c r="AH29" s="23">
        <v>0</v>
      </c>
      <c r="AI29" s="23">
        <f t="shared" si="34"/>
        <v>12586.216</v>
      </c>
      <c r="AJ29" s="21">
        <f t="shared" si="35"/>
        <v>54.06798548016409</v>
      </c>
      <c r="AL29" s="19">
        <v>1396.7100000000003</v>
      </c>
      <c r="AM29" s="6"/>
      <c r="AN29" s="20">
        <v>0</v>
      </c>
      <c r="AO29" s="9"/>
      <c r="AP29" s="22">
        <v>-6404</v>
      </c>
      <c r="AQ29" s="22">
        <v>0</v>
      </c>
      <c r="AR29" s="22">
        <v>0</v>
      </c>
      <c r="AS29" s="23">
        <f t="shared" si="36"/>
        <v>0</v>
      </c>
      <c r="AT29" s="23">
        <f t="shared" si="37"/>
        <v>4785.5059999999994</v>
      </c>
      <c r="AU29" s="21">
        <f>AT29/(AW29/6)</f>
        <v>19.040474801061006</v>
      </c>
      <c r="AW29">
        <v>1508</v>
      </c>
    </row>
    <row r="30" spans="1:49" x14ac:dyDescent="0.3">
      <c r="A30" s="24"/>
      <c r="B30" s="18" t="s">
        <v>21</v>
      </c>
      <c r="C30" s="19">
        <v>1199.7180000000001</v>
      </c>
      <c r="D30" s="6"/>
      <c r="E30" s="20">
        <v>0</v>
      </c>
      <c r="F30" s="6"/>
      <c r="G30" s="19">
        <v>5080.1040000000003</v>
      </c>
      <c r="H30" s="21">
        <f t="shared" si="30"/>
        <v>25.406490525273441</v>
      </c>
      <c r="I30" s="22">
        <v>-274</v>
      </c>
      <c r="J30" s="22">
        <v>0</v>
      </c>
      <c r="K30" s="22">
        <v>0</v>
      </c>
      <c r="L30" s="23">
        <v>0</v>
      </c>
      <c r="M30" s="23">
        <f t="shared" si="31"/>
        <v>3606.3860000000004</v>
      </c>
      <c r="N30" s="21">
        <f t="shared" si="32"/>
        <v>15.629923375632766</v>
      </c>
      <c r="P30" s="19">
        <v>1384.4159999999995</v>
      </c>
      <c r="Q30" s="16"/>
      <c r="R30" s="20">
        <v>329</v>
      </c>
      <c r="S30" s="6"/>
      <c r="T30" s="22">
        <v>-38</v>
      </c>
      <c r="U30" s="22">
        <v>0</v>
      </c>
      <c r="V30" s="22">
        <v>0</v>
      </c>
      <c r="W30" s="23">
        <v>0</v>
      </c>
      <c r="X30" s="23">
        <f t="shared" si="33"/>
        <v>2512.9700000000012</v>
      </c>
      <c r="Y30" s="21">
        <f>X30/(AA30/6)</f>
        <v>14.335826302248245</v>
      </c>
      <c r="AA30" s="19">
        <v>1051.7579999999998</v>
      </c>
      <c r="AB30" s="6">
        <v>0</v>
      </c>
      <c r="AC30" s="20">
        <v>0</v>
      </c>
      <c r="AD30" s="9"/>
      <c r="AE30" s="22">
        <v>826</v>
      </c>
      <c r="AF30" s="22">
        <v>0</v>
      </c>
      <c r="AG30" s="22">
        <v>0</v>
      </c>
      <c r="AH30" s="23">
        <v>0</v>
      </c>
      <c r="AI30" s="23">
        <f t="shared" si="34"/>
        <v>2287.2120000000014</v>
      </c>
      <c r="AJ30" s="21">
        <f t="shared" si="35"/>
        <v>11.996727038126867</v>
      </c>
      <c r="AL30" s="19">
        <v>1143.9179999999999</v>
      </c>
      <c r="AM30" s="6"/>
      <c r="AN30" s="20">
        <v>0</v>
      </c>
      <c r="AO30" s="9"/>
      <c r="AP30" s="22">
        <v>1495</v>
      </c>
      <c r="AQ30" s="22">
        <v>0</v>
      </c>
      <c r="AR30" s="22">
        <v>0</v>
      </c>
      <c r="AS30" s="23">
        <f t="shared" si="36"/>
        <v>0</v>
      </c>
      <c r="AT30" s="23">
        <f t="shared" si="37"/>
        <v>2638.2940000000017</v>
      </c>
      <c r="AU30" s="21">
        <f>AT30/(AW30/6)</f>
        <v>11.992245454545463</v>
      </c>
      <c r="AW30">
        <v>1320</v>
      </c>
    </row>
    <row r="31" spans="1:49" ht="28.8" x14ac:dyDescent="0.3">
      <c r="A31" s="24"/>
      <c r="B31" s="18" t="s">
        <v>22</v>
      </c>
      <c r="C31" s="19">
        <v>48.113999999999997</v>
      </c>
      <c r="D31" s="6"/>
      <c r="E31" s="20">
        <v>0</v>
      </c>
      <c r="F31" s="6"/>
      <c r="G31" s="19">
        <v>0</v>
      </c>
      <c r="H31" s="21">
        <f t="shared" si="30"/>
        <v>0</v>
      </c>
      <c r="I31" s="22">
        <v>0</v>
      </c>
      <c r="J31" s="22">
        <v>0</v>
      </c>
      <c r="K31" s="22">
        <v>0</v>
      </c>
      <c r="L31" s="23">
        <v>0</v>
      </c>
      <c r="M31" s="23">
        <f t="shared" si="31"/>
        <v>-48.113999999999997</v>
      </c>
      <c r="N31" s="21">
        <f t="shared" si="32"/>
        <v>-5.0228625117444405</v>
      </c>
      <c r="P31" s="19">
        <v>57.474000000000004</v>
      </c>
      <c r="Q31" s="16"/>
      <c r="R31" s="20">
        <v>0</v>
      </c>
      <c r="S31" s="6"/>
      <c r="T31" s="22">
        <v>0</v>
      </c>
      <c r="U31" s="22">
        <v>0</v>
      </c>
      <c r="V31" s="22">
        <v>0</v>
      </c>
      <c r="W31" s="23">
        <v>0</v>
      </c>
      <c r="X31" s="23">
        <f t="shared" si="33"/>
        <v>-105.58799999999999</v>
      </c>
      <c r="Y31" s="21">
        <f>X31/(AA31/6)</f>
        <v>-16.264325323475042</v>
      </c>
      <c r="AA31" s="19">
        <v>38.952000000000005</v>
      </c>
      <c r="AB31" s="6">
        <v>0</v>
      </c>
      <c r="AC31" s="20">
        <v>0</v>
      </c>
      <c r="AD31" s="9"/>
      <c r="AE31" s="22">
        <v>0</v>
      </c>
      <c r="AF31" s="22">
        <v>0</v>
      </c>
      <c r="AG31" s="22">
        <v>0</v>
      </c>
      <c r="AH31" s="23">
        <v>0</v>
      </c>
      <c r="AI31" s="23">
        <f t="shared" si="34"/>
        <v>-144.54</v>
      </c>
      <c r="AJ31" s="21">
        <f t="shared" si="35"/>
        <v>-21.262135922330092</v>
      </c>
      <c r="AL31" s="19">
        <v>40.788000000000004</v>
      </c>
      <c r="AM31" s="6"/>
      <c r="AN31" s="20">
        <v>0</v>
      </c>
      <c r="AO31" s="9"/>
      <c r="AP31" s="22">
        <v>0</v>
      </c>
      <c r="AQ31" s="22">
        <v>0</v>
      </c>
      <c r="AR31" s="22">
        <v>0</v>
      </c>
      <c r="AS31" s="23">
        <f t="shared" si="36"/>
        <v>0</v>
      </c>
      <c r="AT31" s="23">
        <f t="shared" si="37"/>
        <v>-185.328</v>
      </c>
      <c r="AU31" s="21" t="e">
        <f>AT31/(AW31/6)</f>
        <v>#DIV/0!</v>
      </c>
    </row>
    <row r="32" spans="1:49" ht="28.8" x14ac:dyDescent="0.3">
      <c r="A32" s="24"/>
      <c r="B32" s="18" t="s">
        <v>23</v>
      </c>
      <c r="C32" s="19">
        <v>1579.2660000000001</v>
      </c>
      <c r="D32" s="6"/>
      <c r="E32" s="20">
        <v>0</v>
      </c>
      <c r="F32" s="6"/>
      <c r="G32" s="19">
        <v>4416.6960000000008</v>
      </c>
      <c r="H32" s="21">
        <f t="shared" si="30"/>
        <v>16.780058584177716</v>
      </c>
      <c r="I32" s="22">
        <v>564</v>
      </c>
      <c r="J32" s="22">
        <v>0</v>
      </c>
      <c r="K32" s="22">
        <v>0</v>
      </c>
      <c r="L32" s="23">
        <v>0</v>
      </c>
      <c r="M32" s="23">
        <f t="shared" si="31"/>
        <v>3401.4300000000007</v>
      </c>
      <c r="N32" s="21">
        <f t="shared" si="32"/>
        <v>11.998878223783773</v>
      </c>
      <c r="P32" s="19">
        <v>1700.8740000000003</v>
      </c>
      <c r="Q32" s="16"/>
      <c r="R32" s="20">
        <v>404</v>
      </c>
      <c r="S32" s="6"/>
      <c r="T32" s="22">
        <v>970</v>
      </c>
      <c r="U32" s="22">
        <v>-228</v>
      </c>
      <c r="V32" s="22">
        <v>0</v>
      </c>
      <c r="W32" s="23">
        <v>0</v>
      </c>
      <c r="X32" s="23">
        <f t="shared" si="33"/>
        <v>2846.5560000000005</v>
      </c>
      <c r="Y32" s="21">
        <f>X32/(AA32/6)</f>
        <v>13.981875248662748</v>
      </c>
      <c r="AA32" s="19">
        <v>1221.5340000000001</v>
      </c>
      <c r="AB32" s="6">
        <v>0</v>
      </c>
      <c r="AC32" s="20">
        <v>0</v>
      </c>
      <c r="AD32" s="9"/>
      <c r="AE32" s="22">
        <v>1530</v>
      </c>
      <c r="AF32" s="22">
        <v>-375</v>
      </c>
      <c r="AG32" s="22">
        <v>0</v>
      </c>
      <c r="AH32" s="23">
        <v>0</v>
      </c>
      <c r="AI32" s="23">
        <f t="shared" si="34"/>
        <v>2780.0220000000004</v>
      </c>
      <c r="AJ32" s="21">
        <f t="shared" si="35"/>
        <v>11.99531409783439</v>
      </c>
      <c r="AL32" s="19">
        <v>1390.5540000000001</v>
      </c>
      <c r="AM32" s="6"/>
      <c r="AN32" s="20">
        <v>0</v>
      </c>
      <c r="AO32" s="9"/>
      <c r="AP32" s="22">
        <v>2473</v>
      </c>
      <c r="AQ32" s="22">
        <v>-389</v>
      </c>
      <c r="AR32" s="22">
        <v>0</v>
      </c>
      <c r="AS32" s="23">
        <f t="shared" si="36"/>
        <v>0</v>
      </c>
      <c r="AT32" s="23">
        <f t="shared" si="37"/>
        <v>3473.4680000000003</v>
      </c>
      <c r="AU32" s="21">
        <f>AT32/(AW32/6)</f>
        <v>11.998162348877376</v>
      </c>
      <c r="AW32">
        <v>1737</v>
      </c>
    </row>
    <row r="33" spans="1:47" x14ac:dyDescent="0.3">
      <c r="A33" s="24"/>
      <c r="B33" s="25" t="s">
        <v>24</v>
      </c>
      <c r="C33" s="26">
        <f>(SUM(C28:C32))</f>
        <v>6052.1759999999995</v>
      </c>
      <c r="D33" s="6"/>
      <c r="E33" s="26">
        <f>(SUM(E28:E32))</f>
        <v>5400</v>
      </c>
      <c r="F33" s="6"/>
      <c r="G33" s="26">
        <f>(SUM(G28:G32))</f>
        <v>21390.278000000002</v>
      </c>
      <c r="H33" s="27">
        <f t="shared" si="30"/>
        <v>21.205871739354578</v>
      </c>
      <c r="I33" s="26">
        <f>(SUM(I28:I32))</f>
        <v>-1</v>
      </c>
      <c r="J33" s="26">
        <f>(SUM(J28:J32))</f>
        <v>0</v>
      </c>
      <c r="K33" s="26">
        <f>(SUM(K28:K32))</f>
        <v>0</v>
      </c>
      <c r="L33" s="26">
        <f>(SUM(L28:L32))</f>
        <v>0</v>
      </c>
      <c r="M33" s="26">
        <f t="shared" si="31"/>
        <v>20737.102000000003</v>
      </c>
      <c r="N33" s="27">
        <f t="shared" si="32"/>
        <v>18.534747676799636</v>
      </c>
      <c r="P33" s="26">
        <f>(SUM(P28:P32))</f>
        <v>6712.9380000000001</v>
      </c>
      <c r="Q33" s="16"/>
      <c r="R33" s="26">
        <f>(SUM(R28:R32))</f>
        <v>1581</v>
      </c>
      <c r="S33" s="6"/>
      <c r="T33" s="26">
        <f>(SUM(T28:T32))</f>
        <v>0</v>
      </c>
      <c r="U33" s="26">
        <f>(SUM(U28:U32))</f>
        <v>-228</v>
      </c>
      <c r="V33" s="26">
        <f>(SUM(V28:V32))</f>
        <v>0</v>
      </c>
      <c r="W33" s="26">
        <f>(SUM(W28:W32))</f>
        <v>0</v>
      </c>
      <c r="X33" s="26">
        <f t="shared" si="33"/>
        <v>15377.164000000002</v>
      </c>
      <c r="Y33" s="27">
        <f t="shared" ref="Y33:Y38" si="38">X33/(AA33/6)</f>
        <v>18.436719097513222</v>
      </c>
      <c r="AA33" s="26">
        <f>(SUM(AA28:AA32))</f>
        <v>5004.3060000000005</v>
      </c>
      <c r="AB33" s="6">
        <v>0</v>
      </c>
      <c r="AC33" s="26">
        <f>(SUM(AC28:AC32))</f>
        <v>10800</v>
      </c>
      <c r="AD33" s="9"/>
      <c r="AE33" s="26">
        <f>(SUM(AE28:AE32))</f>
        <v>-1</v>
      </c>
      <c r="AF33" s="26">
        <f>(SUM(AF28:AF32))</f>
        <v>-375</v>
      </c>
      <c r="AG33" s="26">
        <f>(SUM(AG28:AG32))</f>
        <v>0</v>
      </c>
      <c r="AH33" s="26">
        <f>(SUM(AH28:AH32))</f>
        <v>0</v>
      </c>
      <c r="AI33" s="26">
        <f t="shared" si="34"/>
        <v>20796.858</v>
      </c>
      <c r="AJ33" s="27">
        <f t="shared" si="35"/>
        <v>22.219150245515973</v>
      </c>
      <c r="AL33" s="26">
        <f>(SUM(AL28:AL32))</f>
        <v>5615.927999999999</v>
      </c>
      <c r="AM33" s="6"/>
      <c r="AN33" s="26">
        <f>(SUM(AN28:AN32))</f>
        <v>0</v>
      </c>
      <c r="AO33" s="9"/>
      <c r="AP33" s="26">
        <f>(SUM(AP28:AP32))</f>
        <v>-1</v>
      </c>
      <c r="AQ33" s="26">
        <f>(SUM(AQ28:AQ32))</f>
        <v>-389</v>
      </c>
      <c r="AR33" s="26">
        <f>(SUM(AR28:AR32))</f>
        <v>0</v>
      </c>
      <c r="AS33" s="26">
        <f t="shared" si="36"/>
        <v>0</v>
      </c>
      <c r="AT33" s="26">
        <f t="shared" si="37"/>
        <v>14790.93</v>
      </c>
      <c r="AU33" s="27">
        <f t="shared" ref="AU33:AU38" si="39">AT33/(AL33/6)</f>
        <v>15.802478236900477</v>
      </c>
    </row>
    <row r="34" spans="1:47" x14ac:dyDescent="0.3">
      <c r="A34" s="32"/>
      <c r="D34" s="6"/>
      <c r="F34" s="6"/>
      <c r="S34" s="6"/>
    </row>
    <row r="35" spans="1:47" x14ac:dyDescent="0.3">
      <c r="A35" s="32"/>
    </row>
    <row r="36" spans="1:47" ht="23.4" x14ac:dyDescent="0.45">
      <c r="A36" s="1"/>
      <c r="B36" s="2" t="s"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2" t="s">
        <v>1</v>
      </c>
      <c r="Q36" s="2"/>
      <c r="R36" s="2"/>
      <c r="S36" s="2"/>
      <c r="T36" s="2"/>
      <c r="U36" s="2"/>
      <c r="V36" s="2"/>
      <c r="W36" s="2"/>
      <c r="X36" s="2"/>
      <c r="Y36" s="2"/>
      <c r="Z36" s="3"/>
      <c r="AA36" s="2" t="s">
        <v>2</v>
      </c>
      <c r="AB36" s="2"/>
      <c r="AC36" s="2"/>
      <c r="AD36" s="2"/>
      <c r="AE36" s="2"/>
      <c r="AF36" s="2"/>
      <c r="AG36" s="2"/>
      <c r="AH36" s="2"/>
      <c r="AI36" s="2"/>
      <c r="AJ36" s="2"/>
      <c r="AK36" s="3"/>
      <c r="AL36" s="2" t="s">
        <v>3</v>
      </c>
      <c r="AM36" s="2"/>
      <c r="AN36" s="2"/>
      <c r="AO36" s="2"/>
      <c r="AP36" s="2"/>
      <c r="AQ36" s="2"/>
      <c r="AR36" s="2"/>
      <c r="AS36" s="2"/>
      <c r="AT36" s="2"/>
      <c r="AU36" s="2"/>
    </row>
    <row r="37" spans="1:47" ht="18" x14ac:dyDescent="0.35">
      <c r="A37" s="4"/>
      <c r="B37" s="5" t="s">
        <v>4</v>
      </c>
      <c r="C37" s="5"/>
      <c r="D37" s="6"/>
      <c r="E37" s="7" t="s">
        <v>5</v>
      </c>
      <c r="F37" s="6"/>
      <c r="G37" s="5" t="s">
        <v>6</v>
      </c>
      <c r="H37" s="5"/>
      <c r="I37" s="5"/>
      <c r="J37" s="5"/>
      <c r="K37" s="5"/>
      <c r="L37" s="5"/>
      <c r="M37" s="5"/>
      <c r="N37" s="7"/>
      <c r="P37" s="7" t="s">
        <v>4</v>
      </c>
      <c r="Q37" s="8"/>
      <c r="R37" s="7" t="s">
        <v>5</v>
      </c>
      <c r="S37" s="9"/>
      <c r="T37" s="5" t="s">
        <v>6</v>
      </c>
      <c r="U37" s="5"/>
      <c r="V37" s="5"/>
      <c r="W37" s="5"/>
      <c r="X37" s="5"/>
      <c r="Y37" s="5"/>
      <c r="Z37" s="8"/>
      <c r="AA37" s="7" t="s">
        <v>4</v>
      </c>
      <c r="AB37" s="8"/>
      <c r="AC37" s="7" t="s">
        <v>5</v>
      </c>
      <c r="AD37" s="9"/>
      <c r="AE37" s="5" t="s">
        <v>6</v>
      </c>
      <c r="AF37" s="5"/>
      <c r="AG37" s="5"/>
      <c r="AH37" s="5"/>
      <c r="AI37" s="5"/>
      <c r="AJ37" s="5"/>
      <c r="AK37" s="33"/>
      <c r="AL37" s="7" t="s">
        <v>4</v>
      </c>
      <c r="AM37" s="8"/>
      <c r="AN37" s="7" t="s">
        <v>5</v>
      </c>
      <c r="AO37" s="9"/>
      <c r="AP37" s="5" t="s">
        <v>6</v>
      </c>
      <c r="AQ37" s="5"/>
      <c r="AR37" s="5"/>
      <c r="AS37" s="5"/>
      <c r="AT37" s="5"/>
      <c r="AU37" s="5"/>
    </row>
    <row r="38" spans="1:47" ht="43.2" x14ac:dyDescent="0.3">
      <c r="A38" s="11"/>
      <c r="B38" s="12" t="s">
        <v>7</v>
      </c>
      <c r="C38" s="13" t="s">
        <v>4</v>
      </c>
      <c r="D38" s="6"/>
      <c r="E38" s="13" t="s">
        <v>8</v>
      </c>
      <c r="F38" s="6"/>
      <c r="G38" s="14" t="s">
        <v>9</v>
      </c>
      <c r="H38" s="15" t="s">
        <v>10</v>
      </c>
      <c r="I38" s="14" t="s">
        <v>11</v>
      </c>
      <c r="J38" s="14" t="s">
        <v>12</v>
      </c>
      <c r="K38" s="14" t="s">
        <v>13</v>
      </c>
      <c r="L38" s="14" t="s">
        <v>14</v>
      </c>
      <c r="M38" s="14" t="s">
        <v>15</v>
      </c>
      <c r="N38" s="15" t="s">
        <v>16</v>
      </c>
      <c r="P38" s="13" t="s">
        <v>4</v>
      </c>
      <c r="Q38" s="16"/>
      <c r="R38" s="14" t="s">
        <v>8</v>
      </c>
      <c r="S38" s="6"/>
      <c r="T38" s="14" t="s">
        <v>11</v>
      </c>
      <c r="U38" s="14" t="s">
        <v>12</v>
      </c>
      <c r="V38" s="14" t="s">
        <v>13</v>
      </c>
      <c r="W38" s="14" t="s">
        <v>14</v>
      </c>
      <c r="X38" s="14" t="s">
        <v>15</v>
      </c>
      <c r="Y38" s="15" t="s">
        <v>16</v>
      </c>
      <c r="AA38" s="13" t="s">
        <v>4</v>
      </c>
      <c r="AB38" s="16"/>
      <c r="AC38" s="14" t="s">
        <v>8</v>
      </c>
      <c r="AD38" s="6"/>
      <c r="AE38" s="14" t="s">
        <v>11</v>
      </c>
      <c r="AF38" s="14" t="s">
        <v>12</v>
      </c>
      <c r="AG38" s="14" t="s">
        <v>13</v>
      </c>
      <c r="AH38" s="14" t="s">
        <v>14</v>
      </c>
      <c r="AI38" s="14" t="s">
        <v>15</v>
      </c>
      <c r="AJ38" s="15" t="s">
        <v>16</v>
      </c>
      <c r="AK38" s="33"/>
      <c r="AL38" s="13" t="s">
        <v>4</v>
      </c>
      <c r="AM38" s="16"/>
      <c r="AN38" s="14" t="s">
        <v>8</v>
      </c>
      <c r="AO38" s="6"/>
      <c r="AP38" s="14" t="s">
        <v>11</v>
      </c>
      <c r="AQ38" s="14" t="s">
        <v>12</v>
      </c>
      <c r="AR38" s="14" t="s">
        <v>13</v>
      </c>
      <c r="AS38" s="14" t="s">
        <v>14</v>
      </c>
      <c r="AT38" s="14" t="s">
        <v>15</v>
      </c>
      <c r="AU38" s="15" t="s">
        <v>16</v>
      </c>
    </row>
    <row r="39" spans="1:47" x14ac:dyDescent="0.3">
      <c r="A39" s="34" t="s">
        <v>25</v>
      </c>
      <c r="B39" s="18" t="s">
        <v>28</v>
      </c>
      <c r="C39" s="19">
        <v>7863.1739999999972</v>
      </c>
      <c r="D39" s="6"/>
      <c r="E39" s="19">
        <v>37800</v>
      </c>
      <c r="F39" s="6"/>
      <c r="G39" s="19">
        <v>30477.923999999995</v>
      </c>
      <c r="H39" s="21">
        <f>G39/(C39/6)</f>
        <v>23.256199595735772</v>
      </c>
      <c r="I39" s="22">
        <v>0</v>
      </c>
      <c r="J39" s="22">
        <v>-44421.18804000003</v>
      </c>
      <c r="K39" s="22">
        <v>0</v>
      </c>
      <c r="L39" s="23">
        <v>0</v>
      </c>
      <c r="M39" s="23">
        <f>G39+E39-C39+K39+L39+I39+IF(J39&lt;0,J39,0)</f>
        <v>15993.56195999997</v>
      </c>
      <c r="N39" s="21">
        <f>M39/(P39/6)</f>
        <v>11.853246621576531</v>
      </c>
      <c r="O39" s="19"/>
      <c r="P39" s="35">
        <v>8095.7879999999996</v>
      </c>
      <c r="Q39" s="35"/>
      <c r="R39" s="19">
        <v>21600</v>
      </c>
      <c r="S39" s="23"/>
      <c r="T39" s="22">
        <v>0</v>
      </c>
      <c r="U39" s="22">
        <v>-22462.986239999998</v>
      </c>
      <c r="V39" s="22">
        <v>0</v>
      </c>
      <c r="W39" s="23">
        <v>0</v>
      </c>
      <c r="X39" s="23">
        <f>M39-P39+R39+T39+W39+V39+IF(U39&lt;0,U39,0)</f>
        <v>7034.7877199999712</v>
      </c>
      <c r="Y39" s="21">
        <f>X39/(AA39/6)</f>
        <v>5.2136649724523201</v>
      </c>
      <c r="Z39" s="6"/>
      <c r="AA39" s="35">
        <v>8095.7879999999996</v>
      </c>
      <c r="AB39" s="35"/>
      <c r="AC39" s="19">
        <v>32400</v>
      </c>
      <c r="AD39" s="23"/>
      <c r="AE39" s="22">
        <v>0</v>
      </c>
      <c r="AF39" s="22">
        <v>-22462.986239999998</v>
      </c>
      <c r="AG39" s="22">
        <v>0</v>
      </c>
      <c r="AH39" s="23">
        <v>0</v>
      </c>
      <c r="AI39" s="23">
        <f>X39-AA39+AC39+AE39+AH39+AG39+IF(AF39&lt;0,AF39,0)</f>
        <v>8876.0134799999723</v>
      </c>
      <c r="AJ39" s="21">
        <f>AI39/(AL39/6)</f>
        <v>7.7027465335089556</v>
      </c>
      <c r="AK39" s="33"/>
      <c r="AL39" s="35">
        <v>6913.9080000000004</v>
      </c>
      <c r="AM39" s="35">
        <v>0</v>
      </c>
      <c r="AN39" s="19">
        <v>28980</v>
      </c>
      <c r="AO39" s="23"/>
      <c r="AP39" s="22">
        <v>0</v>
      </c>
      <c r="AQ39" s="22">
        <v>-22462.986239999998</v>
      </c>
      <c r="AR39" s="22">
        <v>0</v>
      </c>
      <c r="AS39" s="23">
        <f>IF(J39&gt;0,J39,0)</f>
        <v>0</v>
      </c>
      <c r="AT39" s="23">
        <f>AI39-AL39+AN39+AP39+AS39+AR39+IF(AQ39&lt;0,AQ39,0)</f>
        <v>8479.1192399999745</v>
      </c>
      <c r="AU39" s="21">
        <f>AT39/(AL39/6)</f>
        <v>7.358315360863906</v>
      </c>
    </row>
    <row r="40" spans="1:47" x14ac:dyDescent="0.3">
      <c r="A40" s="34" t="s">
        <v>26</v>
      </c>
      <c r="B40" s="18" t="s">
        <v>28</v>
      </c>
      <c r="C40" s="19">
        <v>4733.7480000000005</v>
      </c>
      <c r="D40" s="6"/>
      <c r="E40" s="19">
        <v>7200</v>
      </c>
      <c r="F40" s="6"/>
      <c r="G40" s="19">
        <v>33738.264000000003</v>
      </c>
      <c r="H40" s="21">
        <f>G40/(C40/6)</f>
        <v>42.763067235518243</v>
      </c>
      <c r="I40" s="22">
        <v>0</v>
      </c>
      <c r="J40" s="22">
        <v>-16866.101519999997</v>
      </c>
      <c r="K40" s="22">
        <v>0</v>
      </c>
      <c r="L40" s="23">
        <v>0</v>
      </c>
      <c r="M40" s="23">
        <f>G40+E40-C40+K40+L40+I40+IF(J40&lt;0,J40,0)</f>
        <v>19338.414480000007</v>
      </c>
      <c r="N40" s="21">
        <f>M40/(P40/6)</f>
        <v>18.32194937270128</v>
      </c>
      <c r="O40" s="19"/>
      <c r="P40" s="35">
        <v>6332.8680000000013</v>
      </c>
      <c r="Q40" s="35"/>
      <c r="R40" s="19">
        <v>17280</v>
      </c>
      <c r="S40" s="23"/>
      <c r="T40" s="22">
        <v>0</v>
      </c>
      <c r="U40" s="22">
        <v>-10454.801939999996</v>
      </c>
      <c r="V40" s="22">
        <v>0</v>
      </c>
      <c r="W40" s="23">
        <v>0</v>
      </c>
      <c r="X40" s="23">
        <f>M40-P40+R40+T40+W40+V40+IF(U40&lt;0,U40,0)</f>
        <v>19830.744540000007</v>
      </c>
      <c r="Y40" s="21">
        <f>X40/(AA40/6)</f>
        <v>18.788401596243599</v>
      </c>
      <c r="Z40" s="6"/>
      <c r="AA40" s="35">
        <v>6332.8680000000013</v>
      </c>
      <c r="AB40" s="35"/>
      <c r="AC40" s="19">
        <v>3600</v>
      </c>
      <c r="AD40" s="23"/>
      <c r="AE40" s="22">
        <v>0</v>
      </c>
      <c r="AF40" s="22">
        <v>-10454.801939999996</v>
      </c>
      <c r="AG40" s="22">
        <v>0</v>
      </c>
      <c r="AH40" s="23">
        <v>0</v>
      </c>
      <c r="AI40" s="23">
        <f>X40-AA40+AC40+AE40+AH40+AG40+IF(AF40&lt;0,AF40,0)</f>
        <v>6643.074600000009</v>
      </c>
      <c r="AJ40" s="21">
        <f>AI40/(AL40/6)</f>
        <v>7.3754902875110027</v>
      </c>
      <c r="AK40" s="33"/>
      <c r="AL40" s="35">
        <v>5404.1759999999995</v>
      </c>
      <c r="AM40" s="35">
        <v>0</v>
      </c>
      <c r="AN40" s="19">
        <v>13320</v>
      </c>
      <c r="AO40" s="23"/>
      <c r="AP40" s="22">
        <v>0</v>
      </c>
      <c r="AQ40" s="22">
        <v>-10454.801939999996</v>
      </c>
      <c r="AR40" s="22">
        <v>0</v>
      </c>
      <c r="AS40" s="23">
        <f>IF(J40&gt;0,J40,0)</f>
        <v>0</v>
      </c>
      <c r="AT40" s="23">
        <f>AI40-AL40+AN40+AP40+AS40+AR40+IF(AQ40&lt;0,AQ40,0)</f>
        <v>4104.0966600000138</v>
      </c>
      <c r="AU40" s="21">
        <f>AT40/(AL40/6)</f>
        <v>4.5565836419835488</v>
      </c>
    </row>
    <row r="41" spans="1:47" x14ac:dyDescent="0.3">
      <c r="A41" s="34" t="s">
        <v>27</v>
      </c>
      <c r="B41" s="18" t="s">
        <v>28</v>
      </c>
      <c r="C41" s="19">
        <v>3046.0680000000002</v>
      </c>
      <c r="D41" s="6"/>
      <c r="E41" s="19">
        <v>0</v>
      </c>
      <c r="F41" s="6"/>
      <c r="G41" s="19">
        <v>28796.094000000001</v>
      </c>
      <c r="H41" s="21">
        <f>G41/(C41/6)</f>
        <v>56.721177596823182</v>
      </c>
      <c r="I41" s="22">
        <v>0</v>
      </c>
      <c r="J41" s="22">
        <v>0</v>
      </c>
      <c r="K41" s="22">
        <v>0</v>
      </c>
      <c r="L41" s="23">
        <v>0</v>
      </c>
      <c r="M41" s="23">
        <f>G41+E41-C41+K41+L41+I41+IF(J41&lt;0,J41,0)</f>
        <v>25750.026000000002</v>
      </c>
      <c r="N41" s="21">
        <f>M41/(P41/6)</f>
        <v>46.521674561793375</v>
      </c>
      <c r="O41" s="19"/>
      <c r="P41" s="35">
        <v>3321.0359999999996</v>
      </c>
      <c r="Q41" s="35"/>
      <c r="R41" s="19">
        <v>7200</v>
      </c>
      <c r="S41" s="23"/>
      <c r="T41" s="22">
        <v>0</v>
      </c>
      <c r="U41" s="22">
        <v>-3144.2956200000008</v>
      </c>
      <c r="V41" s="22">
        <v>0</v>
      </c>
      <c r="W41" s="23">
        <v>0</v>
      </c>
      <c r="X41" s="23">
        <f>M41-P41+R41+T41+W41+V41+IF(U41&lt;0,U41,0)</f>
        <v>26484.694380000001</v>
      </c>
      <c r="Y41" s="21">
        <f>X41/(AA41/6)</f>
        <v>64.948328588139248</v>
      </c>
      <c r="Z41" s="6"/>
      <c r="AA41" s="35">
        <v>2446.6859999999992</v>
      </c>
      <c r="AB41" s="35"/>
      <c r="AC41" s="19">
        <v>7200</v>
      </c>
      <c r="AD41" s="23"/>
      <c r="AE41" s="22">
        <v>0</v>
      </c>
      <c r="AF41" s="22">
        <v>-2900.8015199999959</v>
      </c>
      <c r="AG41" s="22">
        <v>0</v>
      </c>
      <c r="AH41" s="23">
        <v>0</v>
      </c>
      <c r="AI41" s="23">
        <f>X41-AA41+AC41+AE41+AH41+AG41+IF(AF41&lt;0,AF41,0)</f>
        <v>28337.206860000006</v>
      </c>
      <c r="AJ41" s="21">
        <f>AI41/(AL41/6)</f>
        <v>60.695879941397223</v>
      </c>
      <c r="AK41" s="33"/>
      <c r="AL41" s="35">
        <v>2801.232</v>
      </c>
      <c r="AM41" s="35">
        <v>0</v>
      </c>
      <c r="AN41" s="19">
        <v>7200</v>
      </c>
      <c r="AO41" s="23"/>
      <c r="AP41" s="22">
        <v>0</v>
      </c>
      <c r="AQ41" s="22">
        <v>-2900.8015199999959</v>
      </c>
      <c r="AR41" s="22">
        <v>0</v>
      </c>
      <c r="AS41" s="23">
        <f>IF(J41&gt;0,J41,0)</f>
        <v>0</v>
      </c>
      <c r="AT41" s="23">
        <f>AI41-AL41+AN41+AP41+AS41+AR41+IF(AQ41&lt;0,AQ41,0)</f>
        <v>29835.173340000008</v>
      </c>
      <c r="AU41" s="21">
        <f>AT41/(AL41/6)</f>
        <v>63.904396365599155</v>
      </c>
    </row>
  </sheetData>
  <mergeCells count="22">
    <mergeCell ref="AA36:AJ36"/>
    <mergeCell ref="AL36:AU36"/>
    <mergeCell ref="B37:C37"/>
    <mergeCell ref="G37:M37"/>
    <mergeCell ref="T37:Y37"/>
    <mergeCell ref="AE37:AJ37"/>
    <mergeCell ref="AP37:AU37"/>
    <mergeCell ref="A4:A9"/>
    <mergeCell ref="A12:A17"/>
    <mergeCell ref="A20:A25"/>
    <mergeCell ref="A28:A33"/>
    <mergeCell ref="B36:N36"/>
    <mergeCell ref="P36:Y36"/>
    <mergeCell ref="B1:N1"/>
    <mergeCell ref="P1:Y1"/>
    <mergeCell ref="AA1:AJ1"/>
    <mergeCell ref="AL1:AU1"/>
    <mergeCell ref="B2:C2"/>
    <mergeCell ref="G2:M2"/>
    <mergeCell ref="T2:Y2"/>
    <mergeCell ref="AE2:AJ2"/>
    <mergeCell ref="AP2:AU2"/>
  </mergeCells>
  <conditionalFormatting sqref="H4:H9 N4:N9 Y4:Y9 AJ4:AJ9 AU4:AU9">
    <cfRule type="cellIs" dxfId="25" priority="16" operator="greaterThan">
      <formula>40</formula>
    </cfRule>
    <cfRule type="cellIs" dxfId="26" priority="17" operator="between">
      <formula>10</formula>
      <formula>40</formula>
    </cfRule>
    <cfRule type="cellIs" dxfId="29" priority="18" operator="lessThan">
      <formula>0</formula>
    </cfRule>
    <cfRule type="cellIs" dxfId="27" priority="19" operator="between">
      <formula>0</formula>
      <formula>4</formula>
    </cfRule>
    <cfRule type="cellIs" dxfId="28" priority="20" operator="between">
      <formula>4</formula>
      <formula>10</formula>
    </cfRule>
  </conditionalFormatting>
  <conditionalFormatting sqref="H12:H17 N12:N17 Y12:Y17 AJ12:AJ17 AU12:AU17">
    <cfRule type="cellIs" dxfId="24" priority="11" operator="greaterThan">
      <formula>40</formula>
    </cfRule>
    <cfRule type="cellIs" dxfId="23" priority="12" operator="between">
      <formula>10</formula>
      <formula>40</formula>
    </cfRule>
    <cfRule type="cellIs" dxfId="22" priority="13" operator="lessThan">
      <formula>0</formula>
    </cfRule>
    <cfRule type="cellIs" dxfId="21" priority="14" operator="between">
      <formula>0</formula>
      <formula>4</formula>
    </cfRule>
    <cfRule type="cellIs" dxfId="20" priority="15" operator="between">
      <formula>4</formula>
      <formula>10</formula>
    </cfRule>
  </conditionalFormatting>
  <conditionalFormatting sqref="H20:H25 N20:N25 Y20:Y25 AJ20:AJ25 AU20:AU25">
    <cfRule type="cellIs" dxfId="19" priority="6" operator="greaterThan">
      <formula>40</formula>
    </cfRule>
    <cfRule type="cellIs" dxfId="18" priority="7" operator="between">
      <formula>10</formula>
      <formula>40</formula>
    </cfRule>
    <cfRule type="cellIs" dxfId="17" priority="8" operator="lessThan">
      <formula>0</formula>
    </cfRule>
    <cfRule type="cellIs" dxfId="16" priority="9" operator="between">
      <formula>0</formula>
      <formula>4</formula>
    </cfRule>
    <cfRule type="cellIs" dxfId="15" priority="10" operator="between">
      <formula>4</formula>
      <formula>10</formula>
    </cfRule>
  </conditionalFormatting>
  <conditionalFormatting sqref="H28:H33 N28:N33 Y28:Y33 AJ28:AJ33 AU28:AU33">
    <cfRule type="cellIs" dxfId="10" priority="1" operator="greaterThan">
      <formula>40</formula>
    </cfRule>
    <cfRule type="cellIs" dxfId="14" priority="2" operator="between">
      <formula>10</formula>
      <formula>40</formula>
    </cfRule>
    <cfRule type="cellIs" dxfId="13" priority="3" operator="lessThan">
      <formula>0</formula>
    </cfRule>
    <cfRule type="cellIs" dxfId="12" priority="4" operator="between">
      <formula>0</formula>
      <formula>4</formula>
    </cfRule>
    <cfRule type="cellIs" dxfId="11" priority="5" operator="between">
      <formula>4</formula>
      <formula>10</formula>
    </cfRule>
  </conditionalFormatting>
  <conditionalFormatting sqref="H39:H41">
    <cfRule type="cellIs" dxfId="9" priority="21" operator="greaterThan">
      <formula>40</formula>
    </cfRule>
    <cfRule type="cellIs" dxfId="7" priority="22" operator="between">
      <formula>10</formula>
      <formula>40</formula>
    </cfRule>
    <cfRule type="cellIs" dxfId="6" priority="23" operator="lessThan">
      <formula>0</formula>
    </cfRule>
    <cfRule type="cellIs" dxfId="5" priority="24" operator="between">
      <formula>0</formula>
      <formula>4</formula>
    </cfRule>
    <cfRule type="cellIs" dxfId="8" priority="25" operator="between">
      <formula>4</formula>
      <formula>10</formula>
    </cfRule>
  </conditionalFormatting>
  <conditionalFormatting sqref="N39:N41 Y39:Y41 AJ39:AJ41 AU39:AU41">
    <cfRule type="cellIs" dxfId="3" priority="26" operator="greaterThan">
      <formula>40</formula>
    </cfRule>
    <cfRule type="cellIs" dxfId="2" priority="27" operator="between">
      <formula>10</formula>
      <formula>40</formula>
    </cfRule>
    <cfRule type="cellIs" dxfId="1" priority="28" operator="lessThan">
      <formula>0</formula>
    </cfRule>
    <cfRule type="cellIs" dxfId="0" priority="29" operator="between">
      <formula>0</formula>
      <formula>4</formula>
    </cfRule>
    <cfRule type="cellIs" dxfId="4" priority="30" operator="between">
      <formula>4</formula>
      <formula>10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Fevereiro Nova Demanda Resolvid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Sucupira Capozzielli</dc:creator>
  <cp:lastModifiedBy>Rafael Sucupira Capozzielli</cp:lastModifiedBy>
  <dcterms:created xsi:type="dcterms:W3CDTF">2026-04-09T19:25:20Z</dcterms:created>
  <dcterms:modified xsi:type="dcterms:W3CDTF">2026-04-09T19:54:38Z</dcterms:modified>
</cp:coreProperties>
</file>